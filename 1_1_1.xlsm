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universitypensionplan-my.sharepoint.com/personal/michael_kim_universitypensionplan_ca/Documents/Desktop/LCR/"/>
    </mc:Choice>
  </mc:AlternateContent>
  <xr:revisionPtr revIDLastSave="1764" documentId="8_{52669065-3E47-43AD-B85D-8734BB223CAA}" xr6:coauthVersionLast="47" xr6:coauthVersionMax="47" xr10:uidLastSave="{685599F5-D941-42C6-BEE8-22D8189A5CE0}"/>
  <bookViews>
    <workbookView xWindow="0" yWindow="0" windowWidth="14400" windowHeight="15600" xr2:uid="{00000000-000D-0000-FFFF-FFFF00000000}"/>
  </bookViews>
  <sheets>
    <sheet name="LCR_TS" sheetId="1" r:id="rId1"/>
  </sheets>
  <externalReferences>
    <externalReference r:id="rId2"/>
  </externalReferences>
  <definedNames>
    <definedName name="_xlnm._FilterDatabase" localSheetId="0" hidden="1">LCR_TS!$1:$164</definedName>
    <definedName name="Asset_Holdings">!#REF!</definedName>
    <definedName name="BASE_CURR">!#REF!</definedName>
    <definedName name="Correlations">!#REF!</definedName>
    <definedName name="COUNT">!#REF!</definedName>
    <definedName name="Country_Table">!#REF!</definedName>
    <definedName name="Currency_Table">!#REF!</definedName>
    <definedName name="DIST_1C_COL">!#REF!</definedName>
    <definedName name="DIST_AD">!#REF!</definedName>
    <definedName name="DIST_AG_COL">!#REF!</definedName>
    <definedName name="DIST_AI_COL">!#REF!</definedName>
    <definedName name="DIST_BK_COL">!#REF!</definedName>
    <definedName name="DIST_BO_COL">!#REF!</definedName>
    <definedName name="DIST_BR_COL">!#REF!</definedName>
    <definedName name="DIST_CN_COL">!#REF!</definedName>
    <definedName name="DIST_CQ">!#REF!</definedName>
    <definedName name="DIST_CU_COL">!#REF!</definedName>
    <definedName name="DIST_CV_COL">!#REF!</definedName>
    <definedName name="DIST_D1_COL">!#REF!</definedName>
    <definedName name="DIST_DETAIL_ROW">!#REF!</definedName>
    <definedName name="DIST_HEADER_1">!#REF!</definedName>
    <definedName name="DIST_HEADER_2">!#REF!</definedName>
    <definedName name="DIST_INSERTED_ROWS">!#REF!</definedName>
    <definedName name="DIST_L1_COL">!#REF!</definedName>
    <definedName name="DIST_M3_COL">!#REF!</definedName>
    <definedName name="DIST_P4_COL">!#REF!</definedName>
    <definedName name="DIST_PB_COL">!#REF!</definedName>
    <definedName name="DIST_PC_COL">!#REF!</definedName>
    <definedName name="DIST_SN_COL">!#REF!</definedName>
    <definedName name="DIST_SU_COL">!#REF!</definedName>
    <definedName name="DIST_SUBTOTAL_1">!#REF!</definedName>
    <definedName name="DIST_SUBTOTAL_2">!#REF!</definedName>
    <definedName name="DIST_SV_COL">!#REF!</definedName>
    <definedName name="DIST_TK_COL">!#REF!</definedName>
    <definedName name="IBO_Correlations">!#REF!</definedName>
    <definedName name="IBO_Holdings">!#REF!</definedName>
    <definedName name="IBO_Maximum">!#REF!</definedName>
    <definedName name="IBO_Minimum">!#REF!</definedName>
    <definedName name="IBO_VCV">!#REF!</definedName>
    <definedName name="IBO_Vols">!#REF!</definedName>
    <definedName name="IO_CUR_COL">1</definedName>
    <definedName name="IO_CUR_ROW">6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Y">1000</definedName>
    <definedName name="IQ_LTM">2000</definedName>
    <definedName name="IQ_MONTH">15000</definedName>
    <definedName name="IQ_NTM">6000</definedName>
    <definedName name="IQ_WEEK">50000</definedName>
    <definedName name="IQ_YTD">3000</definedName>
    <definedName name="Maximum_Holding">!#REF!</definedName>
    <definedName name="Minimum_Holding">!#REF!</definedName>
    <definedName name="NONUTDATA">!#REF!</definedName>
    <definedName name="PARM_Account">[1]IOControl!$E$2</definedName>
    <definedName name="PARM_Date">[1]IOControl!$E$3</definedName>
    <definedName name="Portfolio_Holdings">!#REF!</definedName>
    <definedName name="Risk_Holdings">!#REF!</definedName>
    <definedName name="Seg">!#REF!</definedName>
    <definedName name="UTDATA">!#REF!</definedName>
    <definedName name="VALU_AN_COL">!#REF!</definedName>
    <definedName name="VALU_DETAIL_ROW">!#REF!</definedName>
    <definedName name="VCV">!#REF!</definedName>
    <definedName name="VCVAO">!#REF!</definedName>
    <definedName name="VCVRA">!#REF!</definedName>
    <definedName name="Vols">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F288" i="1" l="1"/>
  <c r="BF325" i="1" s="1"/>
  <c r="AD261" i="1"/>
  <c r="BJ345" i="1"/>
  <c r="BJ346" i="1"/>
  <c r="BJ347" i="1"/>
  <c r="BJ348" i="1"/>
  <c r="BJ344" i="1"/>
  <c r="BJ221" i="1"/>
  <c r="BJ340" i="1"/>
  <c r="BJ193" i="1"/>
  <c r="BJ339" i="1"/>
  <c r="BJ192" i="1"/>
  <c r="BJ338" i="1"/>
  <c r="BJ337" i="1"/>
  <c r="BJ191" i="1"/>
  <c r="BJ336" i="1"/>
  <c r="BJ189" i="1"/>
  <c r="BF329" i="1"/>
  <c r="BF330" i="1"/>
  <c r="BF331" i="1"/>
  <c r="BF332" i="1"/>
  <c r="BF328" i="1"/>
  <c r="BF323" i="1"/>
  <c r="BF324" i="1"/>
  <c r="BF326" i="1"/>
  <c r="BF322" i="1"/>
  <c r="BF317" i="1"/>
  <c r="BF318" i="1"/>
  <c r="BF319" i="1"/>
  <c r="BF320" i="1"/>
  <c r="BF316" i="1"/>
  <c r="BF311" i="1"/>
  <c r="BF312" i="1"/>
  <c r="BF313" i="1"/>
  <c r="BF314" i="1"/>
  <c r="BF310" i="1"/>
  <c r="BF305" i="1"/>
  <c r="BF306" i="1"/>
  <c r="BF307" i="1"/>
  <c r="BF308" i="1"/>
  <c r="BF304" i="1"/>
  <c r="BF298" i="1"/>
  <c r="BF299" i="1"/>
  <c r="BF300" i="1"/>
  <c r="BF301" i="1"/>
  <c r="BF302" i="1"/>
  <c r="AD298" i="1"/>
  <c r="AE298" i="1"/>
  <c r="AF298" i="1"/>
  <c r="AG298" i="1"/>
  <c r="AH298" i="1"/>
  <c r="AI298" i="1"/>
  <c r="AJ298" i="1"/>
  <c r="AK298" i="1"/>
  <c r="AL298" i="1"/>
  <c r="AM298" i="1"/>
  <c r="AN298" i="1"/>
  <c r="AO298" i="1"/>
  <c r="AP298" i="1"/>
  <c r="AQ298" i="1"/>
  <c r="AR298" i="1"/>
  <c r="AS298" i="1"/>
  <c r="AT298" i="1"/>
  <c r="AU298" i="1"/>
  <c r="AV298" i="1"/>
  <c r="AW298" i="1"/>
  <c r="AX298" i="1"/>
  <c r="AY298" i="1"/>
  <c r="AZ298" i="1"/>
  <c r="BA298" i="1"/>
  <c r="BB298" i="1"/>
  <c r="BC298" i="1"/>
  <c r="BD298" i="1"/>
  <c r="BE298" i="1"/>
  <c r="AD329" i="1"/>
  <c r="AD330" i="1"/>
  <c r="AD331" i="1"/>
  <c r="AD332" i="1"/>
  <c r="AD328" i="1"/>
  <c r="AD322" i="1"/>
  <c r="AD323" i="1"/>
  <c r="AD324" i="1"/>
  <c r="AD325" i="1"/>
  <c r="AD326" i="1"/>
  <c r="AD316" i="1"/>
  <c r="AD317" i="1"/>
  <c r="AD318" i="1"/>
  <c r="AD319" i="1"/>
  <c r="AD320" i="1"/>
  <c r="AD310" i="1"/>
  <c r="AD311" i="1"/>
  <c r="AD312" i="1"/>
  <c r="AD313" i="1"/>
  <c r="AD314" i="1"/>
  <c r="AD274" i="1"/>
  <c r="AD273" i="1"/>
  <c r="AD304" i="1"/>
  <c r="AD305" i="1"/>
  <c r="AD306" i="1"/>
  <c r="AD307" i="1"/>
  <c r="AD308" i="1"/>
  <c r="AD299" i="1"/>
  <c r="AD300" i="1"/>
  <c r="AD301" i="1"/>
  <c r="AD302" i="1"/>
  <c r="BF295" i="1"/>
  <c r="BF294" i="1"/>
  <c r="BF293" i="1"/>
  <c r="BF292" i="1"/>
  <c r="BF291" i="1"/>
  <c r="BF289" i="1"/>
  <c r="BF287" i="1"/>
  <c r="BF286" i="1"/>
  <c r="BF285" i="1"/>
  <c r="BF283" i="1"/>
  <c r="BF277" i="1"/>
  <c r="BF276" i="1"/>
  <c r="BF275" i="1"/>
  <c r="BF274" i="1"/>
  <c r="BF273" i="1"/>
  <c r="BF271" i="1"/>
  <c r="BF270" i="1"/>
  <c r="BF269" i="1"/>
  <c r="BF268" i="1"/>
  <c r="BF267" i="1"/>
  <c r="BF265" i="1"/>
  <c r="BF264" i="1"/>
  <c r="BF263" i="1"/>
  <c r="BF262" i="1"/>
  <c r="BF26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AQ291" i="1"/>
  <c r="AR291" i="1"/>
  <c r="AS291" i="1"/>
  <c r="AT291" i="1"/>
  <c r="AU291" i="1"/>
  <c r="AV291" i="1"/>
  <c r="AW291" i="1"/>
  <c r="AX291" i="1"/>
  <c r="AY291" i="1"/>
  <c r="AZ291" i="1"/>
  <c r="BA291" i="1"/>
  <c r="BB291" i="1"/>
  <c r="BC291" i="1"/>
  <c r="BD291" i="1"/>
  <c r="BE291" i="1"/>
  <c r="AE292" i="1"/>
  <c r="AF292" i="1"/>
  <c r="AG292" i="1"/>
  <c r="AH292" i="1"/>
  <c r="AI292" i="1"/>
  <c r="AJ292" i="1"/>
  <c r="AK292" i="1"/>
  <c r="AL292" i="1"/>
  <c r="AM292" i="1"/>
  <c r="AN292" i="1"/>
  <c r="AO292" i="1"/>
  <c r="AP292" i="1"/>
  <c r="AQ292" i="1"/>
  <c r="AR292" i="1"/>
  <c r="AS292" i="1"/>
  <c r="AT292" i="1"/>
  <c r="AU292" i="1"/>
  <c r="AV292" i="1"/>
  <c r="AW292" i="1"/>
  <c r="AX292" i="1"/>
  <c r="AY292" i="1"/>
  <c r="AZ292" i="1"/>
  <c r="BA292" i="1"/>
  <c r="BB292" i="1"/>
  <c r="BC292" i="1"/>
  <c r="BD292" i="1"/>
  <c r="BE292" i="1"/>
  <c r="AE293" i="1"/>
  <c r="AF293" i="1"/>
  <c r="AG293" i="1"/>
  <c r="AH293" i="1"/>
  <c r="AI293" i="1"/>
  <c r="AJ293" i="1"/>
  <c r="AK293" i="1"/>
  <c r="AL293" i="1"/>
  <c r="AM293" i="1"/>
  <c r="AN293" i="1"/>
  <c r="AO293" i="1"/>
  <c r="AP293" i="1"/>
  <c r="AQ293" i="1"/>
  <c r="AR293" i="1"/>
  <c r="AS293" i="1"/>
  <c r="AT293" i="1"/>
  <c r="AU293" i="1"/>
  <c r="AV293" i="1"/>
  <c r="AW293" i="1"/>
  <c r="AX293" i="1"/>
  <c r="AY293" i="1"/>
  <c r="AZ293" i="1"/>
  <c r="BA293" i="1"/>
  <c r="BB293" i="1"/>
  <c r="BC293" i="1"/>
  <c r="BD293" i="1"/>
  <c r="BE293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AQ294" i="1"/>
  <c r="AR294" i="1"/>
  <c r="AS294" i="1"/>
  <c r="AT294" i="1"/>
  <c r="AU294" i="1"/>
  <c r="AV294" i="1"/>
  <c r="AW294" i="1"/>
  <c r="AX294" i="1"/>
  <c r="AY294" i="1"/>
  <c r="AZ294" i="1"/>
  <c r="BA294" i="1"/>
  <c r="BB294" i="1"/>
  <c r="BC294" i="1"/>
  <c r="BD294" i="1"/>
  <c r="BE294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AQ295" i="1"/>
  <c r="AR295" i="1"/>
  <c r="AS295" i="1"/>
  <c r="AT295" i="1"/>
  <c r="AU295" i="1"/>
  <c r="AV295" i="1"/>
  <c r="AW295" i="1"/>
  <c r="AX295" i="1"/>
  <c r="AY295" i="1"/>
  <c r="AZ295" i="1"/>
  <c r="BA295" i="1"/>
  <c r="BB295" i="1"/>
  <c r="BC295" i="1"/>
  <c r="BD295" i="1"/>
  <c r="BE29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AQ285" i="1"/>
  <c r="AR285" i="1"/>
  <c r="AS285" i="1"/>
  <c r="AT285" i="1"/>
  <c r="AU285" i="1"/>
  <c r="AV285" i="1"/>
  <c r="AW285" i="1"/>
  <c r="AX285" i="1"/>
  <c r="AY285" i="1"/>
  <c r="AZ285" i="1"/>
  <c r="BA285" i="1"/>
  <c r="BB285" i="1"/>
  <c r="BC285" i="1"/>
  <c r="BD285" i="1"/>
  <c r="BE285" i="1"/>
  <c r="AE286" i="1"/>
  <c r="AF286" i="1"/>
  <c r="AG286" i="1"/>
  <c r="AH286" i="1"/>
  <c r="AI286" i="1"/>
  <c r="AJ286" i="1"/>
  <c r="AK286" i="1"/>
  <c r="AL286" i="1"/>
  <c r="AM286" i="1"/>
  <c r="AN286" i="1"/>
  <c r="AO286" i="1"/>
  <c r="AP286" i="1"/>
  <c r="AQ286" i="1"/>
  <c r="AR286" i="1"/>
  <c r="AS286" i="1"/>
  <c r="AT286" i="1"/>
  <c r="AU286" i="1"/>
  <c r="AV286" i="1"/>
  <c r="AW286" i="1"/>
  <c r="AX286" i="1"/>
  <c r="AY286" i="1"/>
  <c r="AZ286" i="1"/>
  <c r="BA286" i="1"/>
  <c r="BB286" i="1"/>
  <c r="BC286" i="1"/>
  <c r="BD286" i="1"/>
  <c r="BE286" i="1"/>
  <c r="AE287" i="1"/>
  <c r="AF287" i="1"/>
  <c r="AG287" i="1"/>
  <c r="AH287" i="1"/>
  <c r="AI287" i="1"/>
  <c r="AJ287" i="1"/>
  <c r="AK287" i="1"/>
  <c r="AL287" i="1"/>
  <c r="AM287" i="1"/>
  <c r="AN287" i="1"/>
  <c r="AO287" i="1"/>
  <c r="AP287" i="1"/>
  <c r="AQ287" i="1"/>
  <c r="AR287" i="1"/>
  <c r="AS287" i="1"/>
  <c r="AT287" i="1"/>
  <c r="AU287" i="1"/>
  <c r="AV287" i="1"/>
  <c r="AW287" i="1"/>
  <c r="AX287" i="1"/>
  <c r="AY287" i="1"/>
  <c r="AZ287" i="1"/>
  <c r="BA287" i="1"/>
  <c r="BB287" i="1"/>
  <c r="BC287" i="1"/>
  <c r="BD287" i="1"/>
  <c r="BE287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AQ288" i="1"/>
  <c r="AR288" i="1"/>
  <c r="AS288" i="1"/>
  <c r="AT288" i="1"/>
  <c r="AU288" i="1"/>
  <c r="AV288" i="1"/>
  <c r="AW288" i="1"/>
  <c r="AX288" i="1"/>
  <c r="AY288" i="1"/>
  <c r="AZ288" i="1"/>
  <c r="BA288" i="1"/>
  <c r="BB288" i="1"/>
  <c r="BC288" i="1"/>
  <c r="BD288" i="1"/>
  <c r="BE288" i="1"/>
  <c r="AE289" i="1"/>
  <c r="AF289" i="1"/>
  <c r="AG289" i="1"/>
  <c r="AH289" i="1"/>
  <c r="AI289" i="1"/>
  <c r="AJ289" i="1"/>
  <c r="AK289" i="1"/>
  <c r="AL289" i="1"/>
  <c r="AM289" i="1"/>
  <c r="AN289" i="1"/>
  <c r="AO289" i="1"/>
  <c r="AP289" i="1"/>
  <c r="AQ289" i="1"/>
  <c r="AR289" i="1"/>
  <c r="AS289" i="1"/>
  <c r="AT289" i="1"/>
  <c r="AU289" i="1"/>
  <c r="AV289" i="1"/>
  <c r="AW289" i="1"/>
  <c r="AX289" i="1"/>
  <c r="AY289" i="1"/>
  <c r="AZ289" i="1"/>
  <c r="BA289" i="1"/>
  <c r="BB289" i="1"/>
  <c r="BC289" i="1"/>
  <c r="BD289" i="1"/>
  <c r="BE28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AQ279" i="1"/>
  <c r="AR279" i="1"/>
  <c r="AS279" i="1"/>
  <c r="AT279" i="1"/>
  <c r="AU279" i="1"/>
  <c r="AV279" i="1"/>
  <c r="AW279" i="1"/>
  <c r="AX279" i="1"/>
  <c r="AY279" i="1"/>
  <c r="AZ279" i="1"/>
  <c r="BA279" i="1"/>
  <c r="BB279" i="1"/>
  <c r="BC279" i="1"/>
  <c r="BD279" i="1"/>
  <c r="BE279" i="1"/>
  <c r="BF279" i="1"/>
  <c r="AE280" i="1"/>
  <c r="AF280" i="1"/>
  <c r="AG280" i="1"/>
  <c r="AH280" i="1"/>
  <c r="AI280" i="1"/>
  <c r="AJ280" i="1"/>
  <c r="AK280" i="1"/>
  <c r="AL280" i="1"/>
  <c r="AM280" i="1"/>
  <c r="AN280" i="1"/>
  <c r="AO280" i="1"/>
  <c r="AP280" i="1"/>
  <c r="AQ280" i="1"/>
  <c r="AR280" i="1"/>
  <c r="AS280" i="1"/>
  <c r="AT280" i="1"/>
  <c r="AU280" i="1"/>
  <c r="AV280" i="1"/>
  <c r="AW280" i="1"/>
  <c r="AX280" i="1"/>
  <c r="AY280" i="1"/>
  <c r="AZ280" i="1"/>
  <c r="BA280" i="1"/>
  <c r="BB280" i="1"/>
  <c r="BC280" i="1"/>
  <c r="BD280" i="1"/>
  <c r="BE280" i="1"/>
  <c r="BF280" i="1"/>
  <c r="AE281" i="1"/>
  <c r="AF281" i="1"/>
  <c r="AG281" i="1"/>
  <c r="AH281" i="1"/>
  <c r="AI281" i="1"/>
  <c r="AJ281" i="1"/>
  <c r="AK281" i="1"/>
  <c r="AL281" i="1"/>
  <c r="AM281" i="1"/>
  <c r="AN281" i="1"/>
  <c r="AO281" i="1"/>
  <c r="AP281" i="1"/>
  <c r="AQ281" i="1"/>
  <c r="AR281" i="1"/>
  <c r="AS281" i="1"/>
  <c r="AT281" i="1"/>
  <c r="AU281" i="1"/>
  <c r="AV281" i="1"/>
  <c r="AW281" i="1"/>
  <c r="AX281" i="1"/>
  <c r="AY281" i="1"/>
  <c r="AZ281" i="1"/>
  <c r="BA281" i="1"/>
  <c r="BB281" i="1"/>
  <c r="BC281" i="1"/>
  <c r="BD281" i="1"/>
  <c r="BE281" i="1"/>
  <c r="BF281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AQ282" i="1"/>
  <c r="AR282" i="1"/>
  <c r="AS282" i="1"/>
  <c r="AT282" i="1"/>
  <c r="AU282" i="1"/>
  <c r="AV282" i="1"/>
  <c r="AW282" i="1"/>
  <c r="AX282" i="1"/>
  <c r="AY282" i="1"/>
  <c r="AZ282" i="1"/>
  <c r="BA282" i="1"/>
  <c r="BB282" i="1"/>
  <c r="BC282" i="1"/>
  <c r="BD282" i="1"/>
  <c r="BE282" i="1"/>
  <c r="BF282" i="1"/>
  <c r="AE283" i="1"/>
  <c r="AF283" i="1"/>
  <c r="AG283" i="1"/>
  <c r="AH283" i="1"/>
  <c r="AI283" i="1"/>
  <c r="AJ283" i="1"/>
  <c r="AK283" i="1"/>
  <c r="AL283" i="1"/>
  <c r="AM283" i="1"/>
  <c r="AN283" i="1"/>
  <c r="AO283" i="1"/>
  <c r="AP283" i="1"/>
  <c r="AQ283" i="1"/>
  <c r="AR283" i="1"/>
  <c r="AS283" i="1"/>
  <c r="AT283" i="1"/>
  <c r="AU283" i="1"/>
  <c r="AV283" i="1"/>
  <c r="AW283" i="1"/>
  <c r="AX283" i="1"/>
  <c r="AY283" i="1"/>
  <c r="AZ283" i="1"/>
  <c r="BA283" i="1"/>
  <c r="BB283" i="1"/>
  <c r="BC283" i="1"/>
  <c r="BD283" i="1"/>
  <c r="BE28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AQ273" i="1"/>
  <c r="AR273" i="1"/>
  <c r="AS273" i="1"/>
  <c r="AT273" i="1"/>
  <c r="AU273" i="1"/>
  <c r="AV273" i="1"/>
  <c r="AW273" i="1"/>
  <c r="AX273" i="1"/>
  <c r="AY273" i="1"/>
  <c r="AZ273" i="1"/>
  <c r="BA273" i="1"/>
  <c r="BB273" i="1"/>
  <c r="BC273" i="1"/>
  <c r="BD273" i="1"/>
  <c r="BE273" i="1"/>
  <c r="AE274" i="1"/>
  <c r="AF274" i="1"/>
  <c r="AG274" i="1"/>
  <c r="AH274" i="1"/>
  <c r="AI274" i="1"/>
  <c r="AJ274" i="1"/>
  <c r="AK274" i="1"/>
  <c r="AL274" i="1"/>
  <c r="AM274" i="1"/>
  <c r="AN274" i="1"/>
  <c r="AO274" i="1"/>
  <c r="AP274" i="1"/>
  <c r="AQ274" i="1"/>
  <c r="AR274" i="1"/>
  <c r="AS274" i="1"/>
  <c r="AT274" i="1"/>
  <c r="AU274" i="1"/>
  <c r="AV274" i="1"/>
  <c r="AW274" i="1"/>
  <c r="AX274" i="1"/>
  <c r="AY274" i="1"/>
  <c r="AZ274" i="1"/>
  <c r="BA274" i="1"/>
  <c r="BB274" i="1"/>
  <c r="BC274" i="1"/>
  <c r="BD274" i="1"/>
  <c r="BE274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AQ275" i="1"/>
  <c r="AR275" i="1"/>
  <c r="AS275" i="1"/>
  <c r="AT275" i="1"/>
  <c r="AU275" i="1"/>
  <c r="AV275" i="1"/>
  <c r="AW275" i="1"/>
  <c r="AX275" i="1"/>
  <c r="AY275" i="1"/>
  <c r="AZ275" i="1"/>
  <c r="BA275" i="1"/>
  <c r="BB275" i="1"/>
  <c r="BC275" i="1"/>
  <c r="BD275" i="1"/>
  <c r="BE275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AQ276" i="1"/>
  <c r="AR276" i="1"/>
  <c r="AS276" i="1"/>
  <c r="AT276" i="1"/>
  <c r="AU276" i="1"/>
  <c r="AV276" i="1"/>
  <c r="AW276" i="1"/>
  <c r="AX276" i="1"/>
  <c r="AY276" i="1"/>
  <c r="AZ276" i="1"/>
  <c r="BA276" i="1"/>
  <c r="BB276" i="1"/>
  <c r="BC276" i="1"/>
  <c r="BD276" i="1"/>
  <c r="BE276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AQ277" i="1"/>
  <c r="AR277" i="1"/>
  <c r="AS277" i="1"/>
  <c r="AT277" i="1"/>
  <c r="AU277" i="1"/>
  <c r="AV277" i="1"/>
  <c r="AW277" i="1"/>
  <c r="AX277" i="1"/>
  <c r="AY277" i="1"/>
  <c r="AZ277" i="1"/>
  <c r="BA277" i="1"/>
  <c r="BB277" i="1"/>
  <c r="BC277" i="1"/>
  <c r="BD277" i="1"/>
  <c r="BE27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AQ267" i="1"/>
  <c r="AR267" i="1"/>
  <c r="AS267" i="1"/>
  <c r="AT267" i="1"/>
  <c r="AU267" i="1"/>
  <c r="AV267" i="1"/>
  <c r="AW267" i="1"/>
  <c r="AX267" i="1"/>
  <c r="AY267" i="1"/>
  <c r="AZ267" i="1"/>
  <c r="BA267" i="1"/>
  <c r="BB267" i="1"/>
  <c r="BC267" i="1"/>
  <c r="BD267" i="1"/>
  <c r="BE267" i="1"/>
  <c r="AE268" i="1"/>
  <c r="AF268" i="1"/>
  <c r="AG268" i="1"/>
  <c r="AH268" i="1"/>
  <c r="AI268" i="1"/>
  <c r="AJ268" i="1"/>
  <c r="AK268" i="1"/>
  <c r="AL268" i="1"/>
  <c r="AM268" i="1"/>
  <c r="AN268" i="1"/>
  <c r="AO268" i="1"/>
  <c r="AP268" i="1"/>
  <c r="AQ268" i="1"/>
  <c r="AR268" i="1"/>
  <c r="AS268" i="1"/>
  <c r="AT268" i="1"/>
  <c r="AU268" i="1"/>
  <c r="AV268" i="1"/>
  <c r="AW268" i="1"/>
  <c r="AX268" i="1"/>
  <c r="AY268" i="1"/>
  <c r="AZ268" i="1"/>
  <c r="BA268" i="1"/>
  <c r="BB268" i="1"/>
  <c r="BC268" i="1"/>
  <c r="BD268" i="1"/>
  <c r="BE268" i="1"/>
  <c r="AE269" i="1"/>
  <c r="AF269" i="1"/>
  <c r="AG269" i="1"/>
  <c r="AH269" i="1"/>
  <c r="AI269" i="1"/>
  <c r="AJ269" i="1"/>
  <c r="AK269" i="1"/>
  <c r="AL269" i="1"/>
  <c r="AM269" i="1"/>
  <c r="AN269" i="1"/>
  <c r="AO269" i="1"/>
  <c r="AP269" i="1"/>
  <c r="AQ269" i="1"/>
  <c r="AR269" i="1"/>
  <c r="AS269" i="1"/>
  <c r="AT269" i="1"/>
  <c r="AU269" i="1"/>
  <c r="AV269" i="1"/>
  <c r="AW269" i="1"/>
  <c r="AX269" i="1"/>
  <c r="AY269" i="1"/>
  <c r="AZ269" i="1"/>
  <c r="BA269" i="1"/>
  <c r="BB269" i="1"/>
  <c r="BC269" i="1"/>
  <c r="BD269" i="1"/>
  <c r="BE269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AQ270" i="1"/>
  <c r="AR270" i="1"/>
  <c r="AS270" i="1"/>
  <c r="AT270" i="1"/>
  <c r="AU270" i="1"/>
  <c r="AV270" i="1"/>
  <c r="AW270" i="1"/>
  <c r="AX270" i="1"/>
  <c r="AY270" i="1"/>
  <c r="AZ270" i="1"/>
  <c r="BA270" i="1"/>
  <c r="BB270" i="1"/>
  <c r="BC270" i="1"/>
  <c r="BD270" i="1"/>
  <c r="BE270" i="1"/>
  <c r="AE271" i="1"/>
  <c r="AF271" i="1"/>
  <c r="AG271" i="1"/>
  <c r="AH271" i="1"/>
  <c r="AI271" i="1"/>
  <c r="AJ271" i="1"/>
  <c r="AK271" i="1"/>
  <c r="AL271" i="1"/>
  <c r="AM271" i="1"/>
  <c r="AN271" i="1"/>
  <c r="AO271" i="1"/>
  <c r="AP271" i="1"/>
  <c r="AQ271" i="1"/>
  <c r="AR271" i="1"/>
  <c r="AS271" i="1"/>
  <c r="AT271" i="1"/>
  <c r="AU271" i="1"/>
  <c r="AV271" i="1"/>
  <c r="AW271" i="1"/>
  <c r="AX271" i="1"/>
  <c r="AY271" i="1"/>
  <c r="AZ271" i="1"/>
  <c r="BA271" i="1"/>
  <c r="BB271" i="1"/>
  <c r="BC271" i="1"/>
  <c r="BD271" i="1"/>
  <c r="BE271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AQ264" i="1"/>
  <c r="AR264" i="1"/>
  <c r="AS264" i="1"/>
  <c r="AT264" i="1"/>
  <c r="AU264" i="1"/>
  <c r="AV264" i="1"/>
  <c r="AW264" i="1"/>
  <c r="AX264" i="1"/>
  <c r="AY264" i="1"/>
  <c r="AZ264" i="1"/>
  <c r="BA264" i="1"/>
  <c r="BB264" i="1"/>
  <c r="BC264" i="1"/>
  <c r="BD264" i="1"/>
  <c r="BE264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AQ265" i="1"/>
  <c r="AR265" i="1"/>
  <c r="AS265" i="1"/>
  <c r="AT265" i="1"/>
  <c r="AU265" i="1"/>
  <c r="AV265" i="1"/>
  <c r="AW265" i="1"/>
  <c r="AX265" i="1"/>
  <c r="AY265" i="1"/>
  <c r="AZ265" i="1"/>
  <c r="BA265" i="1"/>
  <c r="BB265" i="1"/>
  <c r="BC265" i="1"/>
  <c r="BD265" i="1"/>
  <c r="BE265" i="1"/>
  <c r="AE263" i="1"/>
  <c r="AF263" i="1"/>
  <c r="AG263" i="1"/>
  <c r="AH263" i="1"/>
  <c r="AI263" i="1"/>
  <c r="AJ263" i="1"/>
  <c r="AK263" i="1"/>
  <c r="AL263" i="1"/>
  <c r="AM263" i="1"/>
  <c r="AN263" i="1"/>
  <c r="AO263" i="1"/>
  <c r="AP263" i="1"/>
  <c r="AQ263" i="1"/>
  <c r="AR263" i="1"/>
  <c r="AS263" i="1"/>
  <c r="AT263" i="1"/>
  <c r="AU263" i="1"/>
  <c r="AV263" i="1"/>
  <c r="AW263" i="1"/>
  <c r="AX263" i="1"/>
  <c r="AY263" i="1"/>
  <c r="AZ263" i="1"/>
  <c r="BA263" i="1"/>
  <c r="BB263" i="1"/>
  <c r="BC263" i="1"/>
  <c r="BD263" i="1"/>
  <c r="BE263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AQ262" i="1"/>
  <c r="AR262" i="1"/>
  <c r="AS262" i="1"/>
  <c r="AT262" i="1"/>
  <c r="AU262" i="1"/>
  <c r="AV262" i="1"/>
  <c r="AW262" i="1"/>
  <c r="AX262" i="1"/>
  <c r="AY262" i="1"/>
  <c r="AZ262" i="1"/>
  <c r="BA262" i="1"/>
  <c r="BB262" i="1"/>
  <c r="BC262" i="1"/>
  <c r="BD262" i="1"/>
  <c r="BE262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W261" i="1"/>
  <c r="AX261" i="1"/>
  <c r="AY261" i="1"/>
  <c r="AZ261" i="1"/>
  <c r="BA261" i="1"/>
  <c r="BB261" i="1"/>
  <c r="BC261" i="1"/>
  <c r="BD261" i="1"/>
  <c r="BE261" i="1"/>
  <c r="AD265" i="1"/>
  <c r="AD264" i="1"/>
  <c r="AD263" i="1"/>
  <c r="AD262" i="1"/>
  <c r="AD295" i="1"/>
  <c r="AD294" i="1"/>
  <c r="AD293" i="1"/>
  <c r="AD292" i="1"/>
  <c r="AD291" i="1"/>
  <c r="AD289" i="1"/>
  <c r="AD288" i="1"/>
  <c r="AD287" i="1"/>
  <c r="AD286" i="1"/>
  <c r="AD285" i="1"/>
  <c r="AD283" i="1"/>
  <c r="AD282" i="1"/>
  <c r="AD192" i="1"/>
  <c r="AD281" i="1"/>
  <c r="AD191" i="1"/>
  <c r="AD280" i="1"/>
  <c r="AD190" i="1"/>
  <c r="AD279" i="1"/>
  <c r="AD189" i="1"/>
  <c r="AD277" i="1"/>
  <c r="AD276" i="1"/>
  <c r="AD275" i="1"/>
  <c r="AD271" i="1"/>
  <c r="AD270" i="1"/>
  <c r="AD269" i="1"/>
  <c r="AD267" i="1"/>
  <c r="AD268" i="1"/>
  <c r="AD177" i="1"/>
  <c r="AD172" i="1"/>
  <c r="AD171" i="1"/>
  <c r="AD170" i="1"/>
  <c r="AD169" i="1"/>
  <c r="W36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AP187" i="1"/>
  <c r="AQ187" i="1"/>
  <c r="AR187" i="1"/>
  <c r="AS187" i="1"/>
  <c r="AT187" i="1"/>
  <c r="AU187" i="1"/>
  <c r="AV187" i="1"/>
  <c r="AW187" i="1"/>
  <c r="AX187" i="1"/>
  <c r="AY187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BV187" i="1"/>
  <c r="BW187" i="1"/>
  <c r="BX187" i="1"/>
  <c r="BY187" i="1"/>
  <c r="BZ187" i="1"/>
  <c r="CA187" i="1"/>
  <c r="CB187" i="1"/>
  <c r="CC187" i="1"/>
  <c r="CD187" i="1"/>
  <c r="CE187" i="1"/>
  <c r="CF187" i="1"/>
  <c r="CG187" i="1"/>
  <c r="CH187" i="1"/>
  <c r="CI187" i="1"/>
  <c r="CJ187" i="1"/>
  <c r="CK187" i="1"/>
  <c r="CL187" i="1"/>
  <c r="CM187" i="1"/>
  <c r="CN187" i="1"/>
  <c r="CO187" i="1"/>
  <c r="CP187" i="1"/>
  <c r="CQ187" i="1"/>
  <c r="CR187" i="1"/>
  <c r="CS187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AP186" i="1"/>
  <c r="AQ186" i="1"/>
  <c r="AR186" i="1"/>
  <c r="AS186" i="1"/>
  <c r="AT186" i="1"/>
  <c r="AU186" i="1"/>
  <c r="AV186" i="1"/>
  <c r="AW186" i="1"/>
  <c r="AX186" i="1"/>
  <c r="AY186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BV186" i="1"/>
  <c r="BW186" i="1"/>
  <c r="BX186" i="1"/>
  <c r="BY186" i="1"/>
  <c r="BZ186" i="1"/>
  <c r="CA186" i="1"/>
  <c r="CB186" i="1"/>
  <c r="CC186" i="1"/>
  <c r="CD186" i="1"/>
  <c r="CE186" i="1"/>
  <c r="CF186" i="1"/>
  <c r="CG186" i="1"/>
  <c r="CH186" i="1"/>
  <c r="CI186" i="1"/>
  <c r="CJ186" i="1"/>
  <c r="CK186" i="1"/>
  <c r="CL186" i="1"/>
  <c r="CM186" i="1"/>
  <c r="CN186" i="1"/>
  <c r="CO186" i="1"/>
  <c r="CP186" i="1"/>
  <c r="CQ186" i="1"/>
  <c r="CR186" i="1"/>
  <c r="CS186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AP185" i="1"/>
  <c r="AQ185" i="1"/>
  <c r="AR185" i="1"/>
  <c r="AS185" i="1"/>
  <c r="AT185" i="1"/>
  <c r="AU185" i="1"/>
  <c r="AV185" i="1"/>
  <c r="AW185" i="1"/>
  <c r="AX185" i="1"/>
  <c r="AY185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BV185" i="1"/>
  <c r="BW185" i="1"/>
  <c r="BX185" i="1"/>
  <c r="BY185" i="1"/>
  <c r="BZ185" i="1"/>
  <c r="CA185" i="1"/>
  <c r="CB185" i="1"/>
  <c r="CC185" i="1"/>
  <c r="CD185" i="1"/>
  <c r="CE185" i="1"/>
  <c r="CF185" i="1"/>
  <c r="CG185" i="1"/>
  <c r="CH185" i="1"/>
  <c r="CI185" i="1"/>
  <c r="CJ185" i="1"/>
  <c r="CK185" i="1"/>
  <c r="CL185" i="1"/>
  <c r="CM185" i="1"/>
  <c r="CN185" i="1"/>
  <c r="CO185" i="1"/>
  <c r="CP185" i="1"/>
  <c r="CQ185" i="1"/>
  <c r="CR185" i="1"/>
  <c r="CS185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X184" i="1"/>
  <c r="Y184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AP184" i="1"/>
  <c r="AQ184" i="1"/>
  <c r="AR184" i="1"/>
  <c r="AS184" i="1"/>
  <c r="AT184" i="1"/>
  <c r="AU184" i="1"/>
  <c r="AV184" i="1"/>
  <c r="AW184" i="1"/>
  <c r="AX184" i="1"/>
  <c r="AY184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BV184" i="1"/>
  <c r="BW184" i="1"/>
  <c r="BX184" i="1"/>
  <c r="BY184" i="1"/>
  <c r="BZ184" i="1"/>
  <c r="CA184" i="1"/>
  <c r="CB184" i="1"/>
  <c r="CC184" i="1"/>
  <c r="CD184" i="1"/>
  <c r="CE184" i="1"/>
  <c r="CF184" i="1"/>
  <c r="CG184" i="1"/>
  <c r="CH184" i="1"/>
  <c r="CI184" i="1"/>
  <c r="CJ184" i="1"/>
  <c r="CK184" i="1"/>
  <c r="CL184" i="1"/>
  <c r="CM184" i="1"/>
  <c r="CN184" i="1"/>
  <c r="CO184" i="1"/>
  <c r="CP184" i="1"/>
  <c r="CQ184" i="1"/>
  <c r="CR184" i="1"/>
  <c r="CS184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AQ183" i="1"/>
  <c r="AR183" i="1"/>
  <c r="AS183" i="1"/>
  <c r="AT183" i="1"/>
  <c r="AU183" i="1"/>
  <c r="AV183" i="1"/>
  <c r="AW183" i="1"/>
  <c r="AX183" i="1"/>
  <c r="AY183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BV183" i="1"/>
  <c r="BW183" i="1"/>
  <c r="BX183" i="1"/>
  <c r="BY183" i="1"/>
  <c r="BZ183" i="1"/>
  <c r="CA183" i="1"/>
  <c r="CB183" i="1"/>
  <c r="CC183" i="1"/>
  <c r="CD183" i="1"/>
  <c r="CE183" i="1"/>
  <c r="CF183" i="1"/>
  <c r="CG183" i="1"/>
  <c r="CH183" i="1"/>
  <c r="CI183" i="1"/>
  <c r="CJ183" i="1"/>
  <c r="CK183" i="1"/>
  <c r="CL183" i="1"/>
  <c r="CM183" i="1"/>
  <c r="CN183" i="1"/>
  <c r="CO183" i="1"/>
  <c r="CP183" i="1"/>
  <c r="CQ183" i="1"/>
  <c r="CR183" i="1"/>
  <c r="CS183" i="1"/>
  <c r="C187" i="1"/>
  <c r="C186" i="1"/>
  <c r="C185" i="1"/>
  <c r="C184" i="1"/>
  <c r="C183" i="1"/>
  <c r="E178" i="1"/>
  <c r="E179" i="1" s="1"/>
  <c r="E180" i="1" s="1"/>
  <c r="E181" i="1" s="1"/>
  <c r="D178" i="1"/>
  <c r="D179" i="1" s="1"/>
  <c r="D180" i="1" s="1"/>
  <c r="D181" i="1" s="1"/>
  <c r="D182" i="1" s="1"/>
  <c r="F178" i="1"/>
  <c r="F179" i="1" s="1"/>
  <c r="F180" i="1" s="1"/>
  <c r="F181" i="1" s="1"/>
  <c r="F182" i="1" s="1"/>
  <c r="G178" i="1"/>
  <c r="G179" i="1" s="1"/>
  <c r="G180" i="1" s="1"/>
  <c r="G181" i="1" s="1"/>
  <c r="G182" i="1" s="1"/>
  <c r="H178" i="1"/>
  <c r="H179" i="1" s="1"/>
  <c r="H180" i="1" s="1"/>
  <c r="H181" i="1" s="1"/>
  <c r="H182" i="1" s="1"/>
  <c r="I178" i="1"/>
  <c r="I179" i="1" s="1"/>
  <c r="I180" i="1" s="1"/>
  <c r="I181" i="1" s="1"/>
  <c r="I182" i="1" s="1"/>
  <c r="J178" i="1"/>
  <c r="J179" i="1" s="1"/>
  <c r="J180" i="1" s="1"/>
  <c r="J181" i="1" s="1"/>
  <c r="J182" i="1" s="1"/>
  <c r="K178" i="1"/>
  <c r="K179" i="1" s="1"/>
  <c r="K180" i="1" s="1"/>
  <c r="K181" i="1" s="1"/>
  <c r="K182" i="1" s="1"/>
  <c r="L178" i="1"/>
  <c r="L179" i="1" s="1"/>
  <c r="L180" i="1" s="1"/>
  <c r="L181" i="1" s="1"/>
  <c r="L182" i="1" s="1"/>
  <c r="M178" i="1"/>
  <c r="M179" i="1" s="1"/>
  <c r="M180" i="1" s="1"/>
  <c r="M181" i="1" s="1"/>
  <c r="M182" i="1" s="1"/>
  <c r="N178" i="1"/>
  <c r="N179" i="1" s="1"/>
  <c r="N180" i="1" s="1"/>
  <c r="N181" i="1" s="1"/>
  <c r="N182" i="1" s="1"/>
  <c r="O178" i="1"/>
  <c r="O179" i="1" s="1"/>
  <c r="O180" i="1" s="1"/>
  <c r="O181" i="1" s="1"/>
  <c r="O182" i="1" s="1"/>
  <c r="P178" i="1"/>
  <c r="P179" i="1" s="1"/>
  <c r="P180" i="1" s="1"/>
  <c r="P181" i="1" s="1"/>
  <c r="P182" i="1" s="1"/>
  <c r="Q178" i="1"/>
  <c r="Q179" i="1" s="1"/>
  <c r="Q180" i="1" s="1"/>
  <c r="Q181" i="1" s="1"/>
  <c r="Q182" i="1" s="1"/>
  <c r="R178" i="1"/>
  <c r="R179" i="1" s="1"/>
  <c r="R180" i="1" s="1"/>
  <c r="R181" i="1" s="1"/>
  <c r="R182" i="1" s="1"/>
  <c r="S178" i="1"/>
  <c r="S179" i="1" s="1"/>
  <c r="S180" i="1" s="1"/>
  <c r="S181" i="1" s="1"/>
  <c r="S182" i="1" s="1"/>
  <c r="T178" i="1"/>
  <c r="T179" i="1" s="1"/>
  <c r="T180" i="1" s="1"/>
  <c r="T181" i="1" s="1"/>
  <c r="T182" i="1" s="1"/>
  <c r="U178" i="1"/>
  <c r="U179" i="1" s="1"/>
  <c r="U180" i="1" s="1"/>
  <c r="U181" i="1" s="1"/>
  <c r="U182" i="1" s="1"/>
  <c r="V178" i="1"/>
  <c r="V179" i="1" s="1"/>
  <c r="V180" i="1" s="1"/>
  <c r="V181" i="1" s="1"/>
  <c r="V182" i="1" s="1"/>
  <c r="W178" i="1"/>
  <c r="W179" i="1" s="1"/>
  <c r="W180" i="1" s="1"/>
  <c r="W181" i="1" s="1"/>
  <c r="W182" i="1" s="1"/>
  <c r="X178" i="1"/>
  <c r="X179" i="1" s="1"/>
  <c r="X180" i="1" s="1"/>
  <c r="X181" i="1" s="1"/>
  <c r="X182" i="1" s="1"/>
  <c r="Y178" i="1"/>
  <c r="Y179" i="1" s="1"/>
  <c r="Y180" i="1" s="1"/>
  <c r="Y181" i="1" s="1"/>
  <c r="Y182" i="1" s="1"/>
  <c r="Z178" i="1"/>
  <c r="Z179" i="1" s="1"/>
  <c r="Z180" i="1" s="1"/>
  <c r="Z181" i="1" s="1"/>
  <c r="Z182" i="1" s="1"/>
  <c r="AA178" i="1"/>
  <c r="AA179" i="1" s="1"/>
  <c r="AA180" i="1" s="1"/>
  <c r="AA181" i="1" s="1"/>
  <c r="AA182" i="1" s="1"/>
  <c r="AB178" i="1"/>
  <c r="AB179" i="1" s="1"/>
  <c r="AB180" i="1" s="1"/>
  <c r="AB181" i="1" s="1"/>
  <c r="AB182" i="1" s="1"/>
  <c r="AC178" i="1"/>
  <c r="AC179" i="1" s="1"/>
  <c r="AC180" i="1" s="1"/>
  <c r="AC181" i="1" s="1"/>
  <c r="AC182" i="1" s="1"/>
  <c r="AD178" i="1"/>
  <c r="AD179" i="1" s="1"/>
  <c r="AD180" i="1" s="1"/>
  <c r="AD181" i="1" s="1"/>
  <c r="AD182" i="1" s="1"/>
  <c r="AE178" i="1"/>
  <c r="AE179" i="1" s="1"/>
  <c r="AE180" i="1" s="1"/>
  <c r="AE181" i="1" s="1"/>
  <c r="AE182" i="1" s="1"/>
  <c r="AF178" i="1"/>
  <c r="AF179" i="1" s="1"/>
  <c r="AF180" i="1" s="1"/>
  <c r="AF181" i="1" s="1"/>
  <c r="AF182" i="1" s="1"/>
  <c r="AG178" i="1"/>
  <c r="AG179" i="1" s="1"/>
  <c r="AG180" i="1" s="1"/>
  <c r="AG181" i="1" s="1"/>
  <c r="AG182" i="1" s="1"/>
  <c r="AH178" i="1"/>
  <c r="AH179" i="1" s="1"/>
  <c r="AH180" i="1" s="1"/>
  <c r="AH181" i="1" s="1"/>
  <c r="AH182" i="1" s="1"/>
  <c r="AI178" i="1"/>
  <c r="AI179" i="1" s="1"/>
  <c r="AI180" i="1" s="1"/>
  <c r="AI181" i="1" s="1"/>
  <c r="AI182" i="1" s="1"/>
  <c r="AJ178" i="1"/>
  <c r="AJ179" i="1" s="1"/>
  <c r="AJ180" i="1" s="1"/>
  <c r="AJ181" i="1" s="1"/>
  <c r="AJ182" i="1" s="1"/>
  <c r="AK178" i="1"/>
  <c r="AK179" i="1" s="1"/>
  <c r="AK180" i="1" s="1"/>
  <c r="AK181" i="1" s="1"/>
  <c r="AK182" i="1" s="1"/>
  <c r="AL178" i="1"/>
  <c r="AL179" i="1" s="1"/>
  <c r="AL180" i="1" s="1"/>
  <c r="AL181" i="1" s="1"/>
  <c r="AL182" i="1" s="1"/>
  <c r="AM178" i="1"/>
  <c r="AM179" i="1" s="1"/>
  <c r="AM180" i="1" s="1"/>
  <c r="AM181" i="1" s="1"/>
  <c r="AM182" i="1" s="1"/>
  <c r="AN178" i="1"/>
  <c r="AN179" i="1" s="1"/>
  <c r="AN180" i="1" s="1"/>
  <c r="AN181" i="1" s="1"/>
  <c r="AN182" i="1" s="1"/>
  <c r="AO178" i="1"/>
  <c r="AO179" i="1" s="1"/>
  <c r="AO180" i="1" s="1"/>
  <c r="AO181" i="1" s="1"/>
  <c r="AO182" i="1" s="1"/>
  <c r="AP178" i="1"/>
  <c r="AP179" i="1" s="1"/>
  <c r="AP180" i="1" s="1"/>
  <c r="AP181" i="1" s="1"/>
  <c r="AP182" i="1" s="1"/>
  <c r="AQ178" i="1"/>
  <c r="AQ179" i="1" s="1"/>
  <c r="AQ180" i="1" s="1"/>
  <c r="AQ181" i="1" s="1"/>
  <c r="AQ182" i="1" s="1"/>
  <c r="AR178" i="1"/>
  <c r="AR179" i="1" s="1"/>
  <c r="AR180" i="1" s="1"/>
  <c r="AR181" i="1" s="1"/>
  <c r="AR182" i="1" s="1"/>
  <c r="AS178" i="1"/>
  <c r="AS179" i="1" s="1"/>
  <c r="AS180" i="1" s="1"/>
  <c r="AS181" i="1" s="1"/>
  <c r="AS182" i="1" s="1"/>
  <c r="AT178" i="1"/>
  <c r="AT179" i="1" s="1"/>
  <c r="AT180" i="1" s="1"/>
  <c r="AT181" i="1" s="1"/>
  <c r="AT182" i="1" s="1"/>
  <c r="AU178" i="1"/>
  <c r="AU179" i="1" s="1"/>
  <c r="AU180" i="1" s="1"/>
  <c r="AU181" i="1" s="1"/>
  <c r="AU182" i="1" s="1"/>
  <c r="AV178" i="1"/>
  <c r="AV179" i="1" s="1"/>
  <c r="AV180" i="1" s="1"/>
  <c r="AV181" i="1" s="1"/>
  <c r="AV182" i="1" s="1"/>
  <c r="AW178" i="1"/>
  <c r="AW179" i="1" s="1"/>
  <c r="AW180" i="1" s="1"/>
  <c r="AW181" i="1" s="1"/>
  <c r="AW182" i="1" s="1"/>
  <c r="AX178" i="1"/>
  <c r="AX179" i="1" s="1"/>
  <c r="AX180" i="1" s="1"/>
  <c r="AX181" i="1" s="1"/>
  <c r="AX182" i="1" s="1"/>
  <c r="AY178" i="1"/>
  <c r="AY179" i="1" s="1"/>
  <c r="AY180" i="1" s="1"/>
  <c r="AY181" i="1" s="1"/>
  <c r="AY182" i="1" s="1"/>
  <c r="AZ178" i="1"/>
  <c r="AZ179" i="1" s="1"/>
  <c r="AZ180" i="1" s="1"/>
  <c r="AZ181" i="1" s="1"/>
  <c r="AZ182" i="1" s="1"/>
  <c r="BA178" i="1"/>
  <c r="BA179" i="1" s="1"/>
  <c r="BA180" i="1" s="1"/>
  <c r="BA181" i="1" s="1"/>
  <c r="BA182" i="1" s="1"/>
  <c r="BB178" i="1"/>
  <c r="BB179" i="1" s="1"/>
  <c r="BB180" i="1" s="1"/>
  <c r="BB181" i="1" s="1"/>
  <c r="BB182" i="1" s="1"/>
  <c r="BC178" i="1"/>
  <c r="BC179" i="1" s="1"/>
  <c r="BC180" i="1" s="1"/>
  <c r="BC181" i="1" s="1"/>
  <c r="BC182" i="1" s="1"/>
  <c r="BD178" i="1"/>
  <c r="BD179" i="1" s="1"/>
  <c r="BD180" i="1" s="1"/>
  <c r="BD181" i="1" s="1"/>
  <c r="BD182" i="1" s="1"/>
  <c r="BE178" i="1"/>
  <c r="BE179" i="1" s="1"/>
  <c r="BE180" i="1" s="1"/>
  <c r="BE181" i="1" s="1"/>
  <c r="BE182" i="1" s="1"/>
  <c r="BF178" i="1"/>
  <c r="BF179" i="1" s="1"/>
  <c r="BF180" i="1" s="1"/>
  <c r="BF181" i="1" s="1"/>
  <c r="BF182" i="1" s="1"/>
  <c r="BG178" i="1"/>
  <c r="BG179" i="1" s="1"/>
  <c r="BG180" i="1" s="1"/>
  <c r="BG181" i="1" s="1"/>
  <c r="BG182" i="1" s="1"/>
  <c r="BH178" i="1"/>
  <c r="BH179" i="1" s="1"/>
  <c r="BH180" i="1" s="1"/>
  <c r="BH181" i="1" s="1"/>
  <c r="BH182" i="1" s="1"/>
  <c r="BI178" i="1"/>
  <c r="BI179" i="1" s="1"/>
  <c r="BI180" i="1" s="1"/>
  <c r="BI181" i="1" s="1"/>
  <c r="BI182" i="1" s="1"/>
  <c r="BJ178" i="1"/>
  <c r="BJ179" i="1" s="1"/>
  <c r="BJ180" i="1" s="1"/>
  <c r="BJ181" i="1" s="1"/>
  <c r="BJ182" i="1" s="1"/>
  <c r="BK178" i="1"/>
  <c r="BK179" i="1" s="1"/>
  <c r="BK180" i="1" s="1"/>
  <c r="BK181" i="1" s="1"/>
  <c r="BK182" i="1" s="1"/>
  <c r="BL178" i="1"/>
  <c r="BL179" i="1" s="1"/>
  <c r="BL180" i="1" s="1"/>
  <c r="BL181" i="1" s="1"/>
  <c r="BL182" i="1" s="1"/>
  <c r="BM178" i="1"/>
  <c r="BM179" i="1" s="1"/>
  <c r="BM180" i="1" s="1"/>
  <c r="BM181" i="1" s="1"/>
  <c r="BM182" i="1" s="1"/>
  <c r="BN178" i="1"/>
  <c r="BN179" i="1" s="1"/>
  <c r="BN180" i="1" s="1"/>
  <c r="BN181" i="1" s="1"/>
  <c r="BN182" i="1" s="1"/>
  <c r="BO178" i="1"/>
  <c r="BO179" i="1" s="1"/>
  <c r="BO180" i="1" s="1"/>
  <c r="BO181" i="1" s="1"/>
  <c r="BO182" i="1" s="1"/>
  <c r="BP178" i="1"/>
  <c r="BP179" i="1" s="1"/>
  <c r="BP180" i="1" s="1"/>
  <c r="BP181" i="1" s="1"/>
  <c r="BP182" i="1" s="1"/>
  <c r="BQ178" i="1"/>
  <c r="BQ179" i="1" s="1"/>
  <c r="BQ180" i="1" s="1"/>
  <c r="BQ181" i="1" s="1"/>
  <c r="BQ182" i="1" s="1"/>
  <c r="BR178" i="1"/>
  <c r="BR179" i="1" s="1"/>
  <c r="BR180" i="1" s="1"/>
  <c r="BR181" i="1" s="1"/>
  <c r="BR182" i="1" s="1"/>
  <c r="BS178" i="1"/>
  <c r="BS179" i="1" s="1"/>
  <c r="BS180" i="1" s="1"/>
  <c r="BS181" i="1" s="1"/>
  <c r="BS182" i="1" s="1"/>
  <c r="BT178" i="1"/>
  <c r="BT179" i="1" s="1"/>
  <c r="BT180" i="1" s="1"/>
  <c r="BT181" i="1" s="1"/>
  <c r="BT182" i="1" s="1"/>
  <c r="BU178" i="1"/>
  <c r="BU179" i="1" s="1"/>
  <c r="BU180" i="1" s="1"/>
  <c r="BU181" i="1" s="1"/>
  <c r="BU182" i="1" s="1"/>
  <c r="BV178" i="1"/>
  <c r="BV179" i="1" s="1"/>
  <c r="BV180" i="1" s="1"/>
  <c r="BV181" i="1" s="1"/>
  <c r="BV182" i="1" s="1"/>
  <c r="BW178" i="1"/>
  <c r="BW179" i="1" s="1"/>
  <c r="BW180" i="1" s="1"/>
  <c r="BW181" i="1" s="1"/>
  <c r="BW182" i="1" s="1"/>
  <c r="BX178" i="1"/>
  <c r="BX179" i="1" s="1"/>
  <c r="BX180" i="1" s="1"/>
  <c r="BX181" i="1" s="1"/>
  <c r="BX182" i="1" s="1"/>
  <c r="BY178" i="1"/>
  <c r="BY179" i="1" s="1"/>
  <c r="BY180" i="1" s="1"/>
  <c r="BY181" i="1" s="1"/>
  <c r="BY182" i="1" s="1"/>
  <c r="BZ178" i="1"/>
  <c r="BZ179" i="1" s="1"/>
  <c r="BZ180" i="1" s="1"/>
  <c r="BZ181" i="1" s="1"/>
  <c r="BZ182" i="1" s="1"/>
  <c r="CA178" i="1"/>
  <c r="CA179" i="1" s="1"/>
  <c r="CA180" i="1" s="1"/>
  <c r="CA181" i="1" s="1"/>
  <c r="CA182" i="1" s="1"/>
  <c r="CB178" i="1"/>
  <c r="CB179" i="1" s="1"/>
  <c r="CB180" i="1" s="1"/>
  <c r="CB181" i="1" s="1"/>
  <c r="CB182" i="1" s="1"/>
  <c r="CC178" i="1"/>
  <c r="CC179" i="1" s="1"/>
  <c r="CC180" i="1" s="1"/>
  <c r="CC181" i="1" s="1"/>
  <c r="CC182" i="1" s="1"/>
  <c r="CD178" i="1"/>
  <c r="CD179" i="1" s="1"/>
  <c r="CD180" i="1" s="1"/>
  <c r="CD181" i="1" s="1"/>
  <c r="CD182" i="1" s="1"/>
  <c r="CE178" i="1"/>
  <c r="CE179" i="1" s="1"/>
  <c r="CE180" i="1" s="1"/>
  <c r="CE181" i="1" s="1"/>
  <c r="CE182" i="1" s="1"/>
  <c r="CF178" i="1"/>
  <c r="CF179" i="1" s="1"/>
  <c r="CF180" i="1" s="1"/>
  <c r="CF181" i="1" s="1"/>
  <c r="CF182" i="1" s="1"/>
  <c r="CG178" i="1"/>
  <c r="CG179" i="1" s="1"/>
  <c r="CG180" i="1" s="1"/>
  <c r="CG181" i="1" s="1"/>
  <c r="CG182" i="1" s="1"/>
  <c r="CH178" i="1"/>
  <c r="CH179" i="1" s="1"/>
  <c r="CH180" i="1" s="1"/>
  <c r="CH181" i="1" s="1"/>
  <c r="CH182" i="1" s="1"/>
  <c r="CI178" i="1"/>
  <c r="CI179" i="1" s="1"/>
  <c r="CI180" i="1" s="1"/>
  <c r="CI181" i="1" s="1"/>
  <c r="CI182" i="1" s="1"/>
  <c r="CJ178" i="1"/>
  <c r="CJ179" i="1" s="1"/>
  <c r="CJ180" i="1" s="1"/>
  <c r="CJ181" i="1" s="1"/>
  <c r="CJ182" i="1" s="1"/>
  <c r="CK178" i="1"/>
  <c r="CK179" i="1" s="1"/>
  <c r="CK180" i="1" s="1"/>
  <c r="CK181" i="1" s="1"/>
  <c r="CK182" i="1" s="1"/>
  <c r="CL178" i="1"/>
  <c r="CL179" i="1" s="1"/>
  <c r="CL180" i="1" s="1"/>
  <c r="CL181" i="1" s="1"/>
  <c r="CL182" i="1" s="1"/>
  <c r="CM178" i="1"/>
  <c r="CM179" i="1" s="1"/>
  <c r="CM180" i="1" s="1"/>
  <c r="CM181" i="1" s="1"/>
  <c r="CM182" i="1" s="1"/>
  <c r="CN178" i="1"/>
  <c r="CN179" i="1" s="1"/>
  <c r="CN180" i="1" s="1"/>
  <c r="CN181" i="1" s="1"/>
  <c r="CN182" i="1" s="1"/>
  <c r="CO178" i="1"/>
  <c r="CO179" i="1" s="1"/>
  <c r="CO180" i="1" s="1"/>
  <c r="CO181" i="1" s="1"/>
  <c r="CO182" i="1" s="1"/>
  <c r="CP178" i="1"/>
  <c r="CP179" i="1" s="1"/>
  <c r="CP180" i="1" s="1"/>
  <c r="CP181" i="1" s="1"/>
  <c r="CP182" i="1" s="1"/>
  <c r="CQ178" i="1"/>
  <c r="CQ179" i="1" s="1"/>
  <c r="CQ180" i="1" s="1"/>
  <c r="CQ181" i="1" s="1"/>
  <c r="CQ182" i="1" s="1"/>
  <c r="CR178" i="1"/>
  <c r="CR179" i="1" s="1"/>
  <c r="CR180" i="1" s="1"/>
  <c r="CR181" i="1" s="1"/>
  <c r="CR182" i="1" s="1"/>
  <c r="CS178" i="1"/>
  <c r="CS179" i="1" s="1"/>
  <c r="CS180" i="1" s="1"/>
  <c r="CS181" i="1" s="1"/>
  <c r="CS182" i="1" s="1"/>
  <c r="D177" i="1"/>
  <c r="E177" i="1"/>
  <c r="F177" i="1"/>
  <c r="G177" i="1"/>
  <c r="H177" i="1"/>
  <c r="I177" i="1"/>
  <c r="J177" i="1"/>
  <c r="K177" i="1"/>
  <c r="L177" i="1"/>
  <c r="U177" i="1"/>
  <c r="V177" i="1"/>
  <c r="W177" i="1"/>
  <c r="X177" i="1"/>
  <c r="Y177" i="1"/>
  <c r="Z177" i="1"/>
  <c r="AA177" i="1"/>
  <c r="AB177" i="1"/>
  <c r="AC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AQ177" i="1"/>
  <c r="AR177" i="1"/>
  <c r="AS177" i="1"/>
  <c r="AT177" i="1"/>
  <c r="AU177" i="1"/>
  <c r="AV177" i="1"/>
  <c r="AW177" i="1"/>
  <c r="AX177" i="1"/>
  <c r="AY177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N177" i="1"/>
  <c r="BO177" i="1"/>
  <c r="BP177" i="1"/>
  <c r="BQ177" i="1"/>
  <c r="BT177" i="1"/>
  <c r="BU177" i="1"/>
  <c r="BV177" i="1"/>
  <c r="BZ177" i="1"/>
  <c r="CA177" i="1"/>
  <c r="CB177" i="1"/>
  <c r="CF177" i="1"/>
  <c r="CG177" i="1"/>
  <c r="CH177" i="1"/>
  <c r="CI177" i="1"/>
  <c r="CL177" i="1"/>
  <c r="CM177" i="1"/>
  <c r="CP177" i="1"/>
  <c r="CQ177" i="1"/>
  <c r="D176" i="1"/>
  <c r="E176" i="1"/>
  <c r="F176" i="1"/>
  <c r="G176" i="1"/>
  <c r="H176" i="1"/>
  <c r="I176" i="1"/>
  <c r="J176" i="1"/>
  <c r="K176" i="1"/>
  <c r="L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AQ176" i="1"/>
  <c r="AR176" i="1"/>
  <c r="AS176" i="1"/>
  <c r="AT176" i="1"/>
  <c r="AU176" i="1"/>
  <c r="AV176" i="1"/>
  <c r="AW176" i="1"/>
  <c r="AX176" i="1"/>
  <c r="AY176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N176" i="1"/>
  <c r="BO176" i="1"/>
  <c r="BP176" i="1"/>
  <c r="BQ176" i="1"/>
  <c r="BT176" i="1"/>
  <c r="BU176" i="1"/>
  <c r="BV176" i="1"/>
  <c r="BZ176" i="1"/>
  <c r="CA176" i="1"/>
  <c r="CB176" i="1"/>
  <c r="CF176" i="1"/>
  <c r="CG176" i="1"/>
  <c r="CH176" i="1"/>
  <c r="CI176" i="1"/>
  <c r="CL176" i="1"/>
  <c r="CM176" i="1"/>
  <c r="CP176" i="1"/>
  <c r="CQ176" i="1"/>
  <c r="D175" i="1"/>
  <c r="E175" i="1"/>
  <c r="F175" i="1"/>
  <c r="G175" i="1"/>
  <c r="H175" i="1"/>
  <c r="I175" i="1"/>
  <c r="J175" i="1"/>
  <c r="K175" i="1"/>
  <c r="L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AQ175" i="1"/>
  <c r="AR175" i="1"/>
  <c r="AS175" i="1"/>
  <c r="AT175" i="1"/>
  <c r="AU175" i="1"/>
  <c r="AV175" i="1"/>
  <c r="AW175" i="1"/>
  <c r="AX175" i="1"/>
  <c r="AY175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N175" i="1"/>
  <c r="BO175" i="1"/>
  <c r="BP175" i="1"/>
  <c r="BQ175" i="1"/>
  <c r="BT175" i="1"/>
  <c r="BU175" i="1"/>
  <c r="BV175" i="1"/>
  <c r="BZ175" i="1"/>
  <c r="CA175" i="1"/>
  <c r="CB175" i="1"/>
  <c r="CF175" i="1"/>
  <c r="CG175" i="1"/>
  <c r="CH175" i="1"/>
  <c r="CI175" i="1"/>
  <c r="CL175" i="1"/>
  <c r="CM175" i="1"/>
  <c r="CP175" i="1"/>
  <c r="CQ175" i="1"/>
  <c r="D174" i="1"/>
  <c r="E174" i="1"/>
  <c r="F174" i="1"/>
  <c r="G174" i="1"/>
  <c r="H174" i="1"/>
  <c r="I174" i="1"/>
  <c r="J174" i="1"/>
  <c r="K174" i="1"/>
  <c r="L174" i="1"/>
  <c r="U174" i="1"/>
  <c r="V174" i="1"/>
  <c r="W174" i="1"/>
  <c r="X174" i="1"/>
  <c r="Y174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AP174" i="1"/>
  <c r="AQ174" i="1"/>
  <c r="AR174" i="1"/>
  <c r="AS174" i="1"/>
  <c r="AT174" i="1"/>
  <c r="AU174" i="1"/>
  <c r="AV174" i="1"/>
  <c r="AW174" i="1"/>
  <c r="AX174" i="1"/>
  <c r="AY174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N174" i="1"/>
  <c r="BO174" i="1"/>
  <c r="BP174" i="1"/>
  <c r="BQ174" i="1"/>
  <c r="BT174" i="1"/>
  <c r="BU174" i="1"/>
  <c r="BV174" i="1"/>
  <c r="BZ174" i="1"/>
  <c r="CA174" i="1"/>
  <c r="CB174" i="1"/>
  <c r="CF174" i="1"/>
  <c r="CG174" i="1"/>
  <c r="CH174" i="1"/>
  <c r="CI174" i="1"/>
  <c r="CL174" i="1"/>
  <c r="CM174" i="1"/>
  <c r="CP174" i="1"/>
  <c r="CQ174" i="1"/>
  <c r="D173" i="1"/>
  <c r="E173" i="1"/>
  <c r="F173" i="1"/>
  <c r="G173" i="1"/>
  <c r="H173" i="1"/>
  <c r="I173" i="1"/>
  <c r="J173" i="1"/>
  <c r="K173" i="1"/>
  <c r="L173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W173" i="1"/>
  <c r="AX173" i="1"/>
  <c r="AY173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N173" i="1"/>
  <c r="BO173" i="1"/>
  <c r="BP173" i="1"/>
  <c r="BQ173" i="1"/>
  <c r="BT173" i="1"/>
  <c r="BU173" i="1"/>
  <c r="BV173" i="1"/>
  <c r="BZ173" i="1"/>
  <c r="CA173" i="1"/>
  <c r="CB173" i="1"/>
  <c r="CF173" i="1"/>
  <c r="CG173" i="1"/>
  <c r="CH173" i="1"/>
  <c r="CI173" i="1"/>
  <c r="CL173" i="1"/>
  <c r="CM173" i="1"/>
  <c r="CP173" i="1"/>
  <c r="CQ173" i="1"/>
  <c r="Q172" i="1"/>
  <c r="R172" i="1"/>
  <c r="S172" i="1"/>
  <c r="T172" i="1"/>
  <c r="AU172" i="1"/>
  <c r="AV172" i="1"/>
  <c r="AW172" i="1"/>
  <c r="AX172" i="1"/>
  <c r="CF172" i="1"/>
  <c r="CG172" i="1"/>
  <c r="CH172" i="1"/>
  <c r="CI172" i="1"/>
  <c r="CJ172" i="1"/>
  <c r="CK172" i="1"/>
  <c r="CL172" i="1"/>
  <c r="CM172" i="1"/>
  <c r="CN172" i="1"/>
  <c r="CO172" i="1"/>
  <c r="CP172" i="1"/>
  <c r="CQ172" i="1"/>
  <c r="CR172" i="1"/>
  <c r="CS172" i="1"/>
  <c r="U171" i="1"/>
  <c r="V171" i="1"/>
  <c r="W171" i="1"/>
  <c r="X171" i="1"/>
  <c r="Y171" i="1"/>
  <c r="Z171" i="1"/>
  <c r="AA171" i="1"/>
  <c r="AB171" i="1"/>
  <c r="AC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AQ171" i="1"/>
  <c r="AR171" i="1"/>
  <c r="AS171" i="1"/>
  <c r="AT171" i="1"/>
  <c r="AY171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BV171" i="1"/>
  <c r="BW171" i="1"/>
  <c r="BX171" i="1"/>
  <c r="BY171" i="1"/>
  <c r="BZ171" i="1"/>
  <c r="CA171" i="1"/>
  <c r="CB171" i="1"/>
  <c r="CC171" i="1"/>
  <c r="CD171" i="1"/>
  <c r="CE171" i="1"/>
  <c r="CF171" i="1"/>
  <c r="CG171" i="1"/>
  <c r="CH171" i="1"/>
  <c r="CI171" i="1"/>
  <c r="CJ171" i="1"/>
  <c r="CK171" i="1"/>
  <c r="CL171" i="1"/>
  <c r="CM171" i="1"/>
  <c r="CN171" i="1"/>
  <c r="CO171" i="1"/>
  <c r="CP171" i="1"/>
  <c r="CQ171" i="1"/>
  <c r="CR171" i="1"/>
  <c r="CS171" i="1"/>
  <c r="U170" i="1"/>
  <c r="V170" i="1"/>
  <c r="W170" i="1"/>
  <c r="X170" i="1"/>
  <c r="Y170" i="1"/>
  <c r="Z170" i="1"/>
  <c r="AA170" i="1"/>
  <c r="AB170" i="1"/>
  <c r="AC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AQ170" i="1"/>
  <c r="AR170" i="1"/>
  <c r="AS170" i="1"/>
  <c r="AT170" i="1"/>
  <c r="AY170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BV170" i="1"/>
  <c r="BW170" i="1"/>
  <c r="BX170" i="1"/>
  <c r="BY170" i="1"/>
  <c r="BZ170" i="1"/>
  <c r="CA170" i="1"/>
  <c r="CB170" i="1"/>
  <c r="CC170" i="1"/>
  <c r="CD170" i="1"/>
  <c r="CE170" i="1"/>
  <c r="CF170" i="1"/>
  <c r="CG170" i="1"/>
  <c r="CH170" i="1"/>
  <c r="CI170" i="1"/>
  <c r="CJ170" i="1"/>
  <c r="CK170" i="1"/>
  <c r="CL170" i="1"/>
  <c r="CM170" i="1"/>
  <c r="CN170" i="1"/>
  <c r="CO170" i="1"/>
  <c r="CP170" i="1"/>
  <c r="CQ170" i="1"/>
  <c r="CR170" i="1"/>
  <c r="CS170" i="1"/>
  <c r="U169" i="1"/>
  <c r="V169" i="1"/>
  <c r="W169" i="1"/>
  <c r="X169" i="1"/>
  <c r="Y169" i="1"/>
  <c r="Z169" i="1"/>
  <c r="AA169" i="1"/>
  <c r="AB169" i="1"/>
  <c r="AC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AQ169" i="1"/>
  <c r="AR169" i="1"/>
  <c r="AS169" i="1"/>
  <c r="AT169" i="1"/>
  <c r="AW169" i="1"/>
  <c r="AX169" i="1"/>
  <c r="AY169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BV169" i="1"/>
  <c r="BW169" i="1"/>
  <c r="BX169" i="1"/>
  <c r="BY169" i="1"/>
  <c r="BZ169" i="1"/>
  <c r="CA169" i="1"/>
  <c r="CB169" i="1"/>
  <c r="CC169" i="1"/>
  <c r="CD169" i="1"/>
  <c r="CE169" i="1"/>
  <c r="CF169" i="1"/>
  <c r="CG169" i="1"/>
  <c r="CH169" i="1"/>
  <c r="CI169" i="1"/>
  <c r="CJ169" i="1"/>
  <c r="CK169" i="1"/>
  <c r="CL169" i="1"/>
  <c r="CM169" i="1"/>
  <c r="CN169" i="1"/>
  <c r="CO169" i="1"/>
  <c r="CP169" i="1"/>
  <c r="CQ169" i="1"/>
  <c r="CR169" i="1"/>
  <c r="CS169" i="1"/>
  <c r="D168" i="1"/>
  <c r="E168" i="1"/>
  <c r="F168" i="1"/>
  <c r="G168" i="1"/>
  <c r="H168" i="1"/>
  <c r="I168" i="1"/>
  <c r="J168" i="1"/>
  <c r="K168" i="1"/>
  <c r="L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AQ168" i="1"/>
  <c r="AR168" i="1"/>
  <c r="AS168" i="1"/>
  <c r="AT168" i="1"/>
  <c r="AY168" i="1"/>
  <c r="AZ168" i="1"/>
  <c r="BA168" i="1"/>
  <c r="BB168" i="1"/>
  <c r="BC168" i="1"/>
  <c r="BD168" i="1"/>
  <c r="BE168" i="1"/>
  <c r="BF168" i="1"/>
  <c r="BG168" i="1"/>
  <c r="BH168" i="1"/>
  <c r="BI168" i="1"/>
  <c r="C178" i="1"/>
  <c r="C179" i="1" s="1"/>
  <c r="C177" i="1"/>
  <c r="C176" i="1"/>
  <c r="C175" i="1"/>
  <c r="C174" i="1"/>
  <c r="C173" i="1"/>
  <c r="C168" i="1"/>
  <c r="N42" i="1"/>
  <c r="M42" i="1"/>
  <c r="M19" i="1"/>
  <c r="M168" i="1" s="1"/>
  <c r="T19" i="1"/>
  <c r="T168" i="1" s="1"/>
  <c r="S19" i="1"/>
  <c r="S168" i="1" s="1"/>
  <c r="R19" i="1"/>
  <c r="R168" i="1" s="1"/>
  <c r="Q19" i="1"/>
  <c r="Q168" i="1" s="1"/>
  <c r="P19" i="1"/>
  <c r="P168" i="1" s="1"/>
  <c r="O19" i="1"/>
  <c r="O168" i="1" s="1"/>
  <c r="N19" i="1"/>
  <c r="N168" i="1" s="1"/>
  <c r="CC50" i="1"/>
  <c r="CC175" i="1" s="1"/>
  <c r="CC40" i="1"/>
  <c r="CC172" i="1" s="1"/>
  <c r="CC19" i="1"/>
  <c r="CC168" i="1" s="1"/>
  <c r="BZ40" i="1"/>
  <c r="BZ172" i="1" s="1"/>
  <c r="BZ19" i="1"/>
  <c r="BZ168" i="1" s="1"/>
  <c r="BW50" i="1"/>
  <c r="BR50" i="1"/>
  <c r="BW39" i="1"/>
  <c r="BW172" i="1" s="1"/>
  <c r="BW19" i="1"/>
  <c r="BW168" i="1" s="1"/>
  <c r="BW53" i="1"/>
  <c r="BT39" i="1"/>
  <c r="BT172" i="1" s="1"/>
  <c r="BT19" i="1"/>
  <c r="BT168" i="1" s="1"/>
  <c r="BG39" i="1"/>
  <c r="BG38" i="1"/>
  <c r="BD38" i="1"/>
  <c r="BD40" i="1"/>
  <c r="BA40" i="1"/>
  <c r="BA172" i="1" s="1"/>
  <c r="AR39" i="1"/>
  <c r="AR37" i="1"/>
  <c r="AR38" i="1"/>
  <c r="AO37" i="1"/>
  <c r="AO38" i="1"/>
  <c r="AO40" i="1"/>
  <c r="AO39" i="1"/>
  <c r="AL40" i="1"/>
  <c r="AL37" i="1"/>
  <c r="AL39" i="1"/>
  <c r="AL38" i="1"/>
  <c r="AI39" i="1"/>
  <c r="AI38" i="1"/>
  <c r="AI40" i="1"/>
  <c r="AF40" i="1"/>
  <c r="AF38" i="1"/>
  <c r="AF39" i="1"/>
  <c r="AF37" i="1"/>
  <c r="AC39" i="1"/>
  <c r="AC36" i="1"/>
  <c r="Z38" i="1"/>
  <c r="Z36" i="1"/>
  <c r="Z40" i="1"/>
  <c r="W40" i="1"/>
  <c r="J40" i="1"/>
  <c r="J33" i="1"/>
  <c r="J39" i="1"/>
  <c r="J38" i="1"/>
  <c r="J32" i="1"/>
  <c r="G39" i="1"/>
  <c r="G32" i="1"/>
  <c r="G170" i="1" s="1"/>
  <c r="G38" i="1"/>
  <c r="BO41" i="1"/>
  <c r="BQ34" i="1"/>
  <c r="BS34" i="1"/>
  <c r="BV34" i="1"/>
  <c r="BV41" i="1" s="1"/>
  <c r="BY34" i="1"/>
  <c r="BY41" i="1" s="1"/>
  <c r="CB34" i="1"/>
  <c r="CB41" i="1" s="1"/>
  <c r="CE34" i="1"/>
  <c r="CE41" i="1" s="1"/>
  <c r="BI39" i="1"/>
  <c r="H39" i="1"/>
  <c r="I39" i="1"/>
  <c r="AG40" i="1"/>
  <c r="AH38" i="1"/>
  <c r="AK39" i="1"/>
  <c r="AJ39" i="1"/>
  <c r="AJ38" i="1"/>
  <c r="AK40" i="1"/>
  <c r="AJ40" i="1"/>
  <c r="AH40" i="1"/>
  <c r="AH39" i="1"/>
  <c r="AG39" i="1"/>
  <c r="AG38" i="1"/>
  <c r="AH37" i="1"/>
  <c r="AG37" i="1"/>
  <c r="CQ19" i="1"/>
  <c r="CQ10" i="1" s="1"/>
  <c r="CP19" i="1"/>
  <c r="CP10" i="1" s="1"/>
  <c r="CM19" i="1"/>
  <c r="CM10" i="1" s="1"/>
  <c r="CL19" i="1"/>
  <c r="CL168" i="1" s="1"/>
  <c r="CI19" i="1"/>
  <c r="CI10" i="1" s="1"/>
  <c r="CH19" i="1"/>
  <c r="CH168" i="1" s="1"/>
  <c r="CB40" i="1"/>
  <c r="CB172" i="1" s="1"/>
  <c r="CA40" i="1"/>
  <c r="CA172" i="1" s="1"/>
  <c r="CB19" i="1"/>
  <c r="CB168" i="1" s="1"/>
  <c r="CA19" i="1"/>
  <c r="CA168" i="1" s="1"/>
  <c r="BV39" i="1"/>
  <c r="BV172" i="1" s="1"/>
  <c r="BU39" i="1"/>
  <c r="BU172" i="1" s="1"/>
  <c r="BV19" i="1"/>
  <c r="BV168" i="1" s="1"/>
  <c r="BU19" i="1"/>
  <c r="BU168" i="1" s="1"/>
  <c r="BQ38" i="1"/>
  <c r="BQ172" i="1" s="1"/>
  <c r="BP38" i="1"/>
  <c r="BP172" i="1" s="1"/>
  <c r="BQ19" i="1"/>
  <c r="BQ168" i="1" s="1"/>
  <c r="BP19" i="1"/>
  <c r="BP168" i="1" s="1"/>
  <c r="BK36" i="1"/>
  <c r="BK172" i="1" s="1"/>
  <c r="BJ36" i="1"/>
  <c r="BJ172" i="1" s="1"/>
  <c r="BK19" i="1"/>
  <c r="BK168" i="1" s="1"/>
  <c r="BJ19" i="1"/>
  <c r="BJ168" i="1" s="1"/>
  <c r="AQ38" i="1"/>
  <c r="AQ37" i="1"/>
  <c r="AP38" i="1"/>
  <c r="AQ40" i="1"/>
  <c r="AP40" i="1"/>
  <c r="AQ39" i="1"/>
  <c r="AP39" i="1"/>
  <c r="AP37" i="1"/>
  <c r="AA38" i="1"/>
  <c r="AB38" i="1"/>
  <c r="AB36" i="1"/>
  <c r="AA40" i="1"/>
  <c r="AB40" i="1"/>
  <c r="AA36" i="1"/>
  <c r="L40" i="1"/>
  <c r="L33" i="1"/>
  <c r="K40" i="1"/>
  <c r="K33" i="1"/>
  <c r="L39" i="1"/>
  <c r="K39" i="1"/>
  <c r="L32" i="1"/>
  <c r="K32" i="1"/>
  <c r="K170" i="1" s="1"/>
  <c r="L38" i="1"/>
  <c r="L172" i="1" s="1"/>
  <c r="K38" i="1"/>
  <c r="CS19" i="1"/>
  <c r="CS168" i="1" s="1"/>
  <c r="CR19" i="1"/>
  <c r="CR168" i="1" s="1"/>
  <c r="CO19" i="1"/>
  <c r="CO168" i="1" s="1"/>
  <c r="CN19" i="1"/>
  <c r="CN168" i="1" s="1"/>
  <c r="CK19" i="1"/>
  <c r="CK168" i="1" s="1"/>
  <c r="CJ19" i="1"/>
  <c r="CJ168" i="1" s="1"/>
  <c r="CE19" i="1"/>
  <c r="CE168" i="1" s="1"/>
  <c r="CD19" i="1"/>
  <c r="CD168" i="1" s="1"/>
  <c r="BY19" i="1"/>
  <c r="BY168" i="1" s="1"/>
  <c r="BX19" i="1"/>
  <c r="BX168" i="1" s="1"/>
  <c r="BS19" i="1"/>
  <c r="BS168" i="1" s="1"/>
  <c r="BR19" i="1"/>
  <c r="BR168" i="1" s="1"/>
  <c r="BM19" i="1"/>
  <c r="BM168" i="1" s="1"/>
  <c r="BL19" i="1"/>
  <c r="BL168" i="1" s="1"/>
  <c r="BH39" i="1"/>
  <c r="BI38" i="1"/>
  <c r="BH38" i="1"/>
  <c r="BF38" i="1"/>
  <c r="BE38" i="1"/>
  <c r="BF40" i="1"/>
  <c r="BE40" i="1"/>
  <c r="AT39" i="1"/>
  <c r="AT37" i="1"/>
  <c r="AS39" i="1"/>
  <c r="AS37" i="1"/>
  <c r="AN40" i="1"/>
  <c r="AN37" i="1"/>
  <c r="AM40" i="1"/>
  <c r="AM37" i="1"/>
  <c r="AT38" i="1"/>
  <c r="AS38" i="1"/>
  <c r="AN39" i="1"/>
  <c r="AN38" i="1"/>
  <c r="AM39" i="1"/>
  <c r="AM38" i="1"/>
  <c r="H38" i="1"/>
  <c r="H172" i="1" s="1"/>
  <c r="I38" i="1"/>
  <c r="I172" i="1" s="1"/>
  <c r="F38" i="1"/>
  <c r="F37" i="1"/>
  <c r="E38" i="1"/>
  <c r="E37" i="1"/>
  <c r="D37" i="1"/>
  <c r="D36" i="1"/>
  <c r="C37" i="1"/>
  <c r="C36" i="1"/>
  <c r="AE39" i="1"/>
  <c r="AD39" i="1"/>
  <c r="T33" i="1"/>
  <c r="T170" i="1" s="1"/>
  <c r="S33" i="1"/>
  <c r="S170" i="1" s="1"/>
  <c r="R32" i="1"/>
  <c r="R171" i="1" s="1"/>
  <c r="Q32" i="1"/>
  <c r="Q171" i="1" s="1"/>
  <c r="P38" i="1"/>
  <c r="P172" i="1" s="1"/>
  <c r="O38" i="1"/>
  <c r="O172" i="1" s="1"/>
  <c r="N37" i="1"/>
  <c r="N172" i="1" s="1"/>
  <c r="P31" i="1"/>
  <c r="P170" i="1" s="1"/>
  <c r="O31" i="1"/>
  <c r="O170" i="1" s="1"/>
  <c r="N30" i="1"/>
  <c r="N170" i="1" s="1"/>
  <c r="M30" i="1"/>
  <c r="M169" i="1" s="1"/>
  <c r="M37" i="1"/>
  <c r="M172" i="1" s="1"/>
  <c r="CE50" i="1"/>
  <c r="CE174" i="1" s="1"/>
  <c r="CD50" i="1"/>
  <c r="CD177" i="1" s="1"/>
  <c r="BX50" i="1"/>
  <c r="BY50" i="1"/>
  <c r="BY53" i="1"/>
  <c r="BX53" i="1"/>
  <c r="BS50" i="1"/>
  <c r="BS52" i="1"/>
  <c r="BR52" i="1"/>
  <c r="CS50" i="1"/>
  <c r="CS175" i="1" s="1"/>
  <c r="CR50" i="1"/>
  <c r="CR177" i="1" s="1"/>
  <c r="CO50" i="1"/>
  <c r="CO177" i="1" s="1"/>
  <c r="CN50" i="1"/>
  <c r="CN177" i="1" s="1"/>
  <c r="CK50" i="1"/>
  <c r="CK175" i="1" s="1"/>
  <c r="CJ50" i="1"/>
  <c r="CJ177" i="1" s="1"/>
  <c r="CE40" i="1"/>
  <c r="CE172" i="1" s="1"/>
  <c r="CD40" i="1"/>
  <c r="CD172" i="1" s="1"/>
  <c r="BY39" i="1"/>
  <c r="BY172" i="1" s="1"/>
  <c r="BX39" i="1"/>
  <c r="BX172" i="1" s="1"/>
  <c r="BS38" i="1"/>
  <c r="BS172" i="1" s="1"/>
  <c r="BR38" i="1"/>
  <c r="BR172" i="1" s="1"/>
  <c r="CF19" i="1"/>
  <c r="CF10" i="1" s="1"/>
  <c r="CG19" i="1"/>
  <c r="CG10" i="1" s="1"/>
  <c r="BM50" i="1"/>
  <c r="BM175" i="1" s="1"/>
  <c r="BM36" i="1"/>
  <c r="BM172" i="1" s="1"/>
  <c r="BL50" i="1"/>
  <c r="BL177" i="1" s="1"/>
  <c r="BL36" i="1"/>
  <c r="BL172" i="1" s="1"/>
  <c r="BO37" i="1"/>
  <c r="BO172" i="1" s="1"/>
  <c r="BO19" i="1"/>
  <c r="BO168" i="1" s="1"/>
  <c r="BN37" i="1"/>
  <c r="BN172" i="1" s="1"/>
  <c r="BN19" i="1"/>
  <c r="BN168" i="1" s="1"/>
  <c r="BC40" i="1"/>
  <c r="BC10" i="1" s="1"/>
  <c r="BB40" i="1"/>
  <c r="BB172" i="1" s="1"/>
  <c r="AZ37" i="1"/>
  <c r="AZ10" i="1" s="1"/>
  <c r="AY37" i="1"/>
  <c r="AY172" i="1" s="1"/>
  <c r="AX28" i="1"/>
  <c r="AX171" i="1" s="1"/>
  <c r="AX19" i="1"/>
  <c r="AX168" i="1" s="1"/>
  <c r="AX189" i="1" s="1"/>
  <c r="AX205" i="1" s="1"/>
  <c r="AW28" i="1"/>
  <c r="AW171" i="1" s="1"/>
  <c r="AW19" i="1"/>
  <c r="AW168" i="1" s="1"/>
  <c r="AV26" i="1"/>
  <c r="AV170" i="1" s="1"/>
  <c r="AV19" i="1"/>
  <c r="AV168" i="1" s="1"/>
  <c r="AU26" i="1"/>
  <c r="AU170" i="1" s="1"/>
  <c r="AU19" i="1"/>
  <c r="AU168" i="1" s="1"/>
  <c r="AK38" i="1"/>
  <c r="AE36" i="1"/>
  <c r="AD36" i="1"/>
  <c r="Y40" i="1"/>
  <c r="Y36" i="1"/>
  <c r="Y172" i="1" s="1"/>
  <c r="X40" i="1"/>
  <c r="X36" i="1"/>
  <c r="V37" i="1"/>
  <c r="V36" i="1"/>
  <c r="U37" i="1"/>
  <c r="U36" i="1"/>
  <c r="T54" i="1"/>
  <c r="T177" i="1" s="1"/>
  <c r="S54" i="1"/>
  <c r="S177" i="1" s="1"/>
  <c r="R53" i="1"/>
  <c r="R177" i="1" s="1"/>
  <c r="P52" i="1"/>
  <c r="P177" i="1" s="1"/>
  <c r="Q53" i="1"/>
  <c r="Q175" i="1" s="1"/>
  <c r="O52" i="1"/>
  <c r="O176" i="1" s="1"/>
  <c r="N51" i="1"/>
  <c r="N177" i="1" s="1"/>
  <c r="M51" i="1"/>
  <c r="M177" i="1" s="1"/>
  <c r="I32" i="1"/>
  <c r="I171" i="1" s="1"/>
  <c r="H32" i="1"/>
  <c r="H169" i="1" s="1"/>
  <c r="F31" i="1"/>
  <c r="F169" i="1" s="1"/>
  <c r="E31" i="1"/>
  <c r="E169" i="1" s="1"/>
  <c r="D30" i="1"/>
  <c r="D170" i="1" s="1"/>
  <c r="C30" i="1"/>
  <c r="AD193" i="1" l="1"/>
  <c r="BK189" i="1"/>
  <c r="BK205" i="1" s="1"/>
  <c r="AV189" i="1"/>
  <c r="AV237" i="1" s="1"/>
  <c r="BF172" i="1"/>
  <c r="BS173" i="1"/>
  <c r="BS189" i="1" s="1"/>
  <c r="W172" i="1"/>
  <c r="D222" i="1"/>
  <c r="D238" i="1" s="1"/>
  <c r="D246" i="1"/>
  <c r="D254" i="1" s="1"/>
  <c r="BP189" i="1"/>
  <c r="BP205" i="1" s="1"/>
  <c r="AZ189" i="1"/>
  <c r="AZ205" i="1" s="1"/>
  <c r="AK172" i="1"/>
  <c r="BY174" i="1"/>
  <c r="BY190" i="1" s="1"/>
  <c r="BY206" i="1" s="1"/>
  <c r="H223" i="1"/>
  <c r="H239" i="1" s="1"/>
  <c r="D172" i="1"/>
  <c r="BF189" i="1"/>
  <c r="BF205" i="1" s="1"/>
  <c r="F221" i="1"/>
  <c r="F237" i="1" s="1"/>
  <c r="E221" i="1"/>
  <c r="E237" i="1" s="1"/>
  <c r="BH189" i="1"/>
  <c r="BH205" i="1" s="1"/>
  <c r="CA189" i="1"/>
  <c r="CA205" i="1" s="1"/>
  <c r="U172" i="1"/>
  <c r="U193" i="1" s="1"/>
  <c r="U209" i="1" s="1"/>
  <c r="E172" i="1"/>
  <c r="AR189" i="1"/>
  <c r="AR205" i="1" s="1"/>
  <c r="AJ189" i="1"/>
  <c r="AJ221" i="1" s="1"/>
  <c r="AB189" i="1"/>
  <c r="AB205" i="1" s="1"/>
  <c r="L189" i="1"/>
  <c r="L205" i="1" s="1"/>
  <c r="BV189" i="1"/>
  <c r="BV205" i="1" s="1"/>
  <c r="K222" i="1"/>
  <c r="K238" i="1" s="1"/>
  <c r="BI172" i="1"/>
  <c r="BI193" i="1" s="1"/>
  <c r="F222" i="1"/>
  <c r="F238" i="1" s="1"/>
  <c r="I222" i="1"/>
  <c r="I238" i="1" s="1"/>
  <c r="BW174" i="1"/>
  <c r="BW190" i="1" s="1"/>
  <c r="BW206" i="1" s="1"/>
  <c r="K171" i="1"/>
  <c r="D189" i="1"/>
  <c r="D205" i="1" s="1"/>
  <c r="E222" i="1"/>
  <c r="E238" i="1" s="1"/>
  <c r="G223" i="1"/>
  <c r="G239" i="1" s="1"/>
  <c r="I223" i="1"/>
  <c r="I239" i="1" s="1"/>
  <c r="CC176" i="1"/>
  <c r="CC192" i="1" s="1"/>
  <c r="CC208" i="1" s="1"/>
  <c r="E224" i="1"/>
  <c r="E240" i="1" s="1"/>
  <c r="F223" i="1"/>
  <c r="F239" i="1" s="1"/>
  <c r="D192" i="1"/>
  <c r="X172" i="1"/>
  <c r="BT189" i="1"/>
  <c r="BT205" i="1" s="1"/>
  <c r="D224" i="1"/>
  <c r="D240" i="1" s="1"/>
  <c r="J221" i="1"/>
  <c r="J237" i="1" s="1"/>
  <c r="D248" i="1"/>
  <c r="D256" i="1" s="1"/>
  <c r="G221" i="1"/>
  <c r="G237" i="1" s="1"/>
  <c r="K221" i="1"/>
  <c r="K237" i="1" s="1"/>
  <c r="D221" i="1"/>
  <c r="D237" i="1" s="1"/>
  <c r="H189" i="1"/>
  <c r="H205" i="1" s="1"/>
  <c r="R169" i="1"/>
  <c r="G222" i="1"/>
  <c r="G238" i="1" s="1"/>
  <c r="J222" i="1"/>
  <c r="J238" i="1" s="1"/>
  <c r="H221" i="1"/>
  <c r="H237" i="1" s="1"/>
  <c r="D245" i="1"/>
  <c r="D253" i="1" s="1"/>
  <c r="I221" i="1"/>
  <c r="I237" i="1" s="1"/>
  <c r="H222" i="1"/>
  <c r="H238" i="1" s="1"/>
  <c r="D190" i="1"/>
  <c r="D206" i="1" s="1"/>
  <c r="AU189" i="1"/>
  <c r="AU205" i="1" s="1"/>
  <c r="AC172" i="1"/>
  <c r="CM168" i="1"/>
  <c r="CM190" i="1" s="1"/>
  <c r="CM206" i="1" s="1"/>
  <c r="G169" i="1"/>
  <c r="BH221" i="1"/>
  <c r="BC189" i="1"/>
  <c r="BC205" i="1" s="1"/>
  <c r="BE172" i="1"/>
  <c r="AB172" i="1"/>
  <c r="AB193" i="1" s="1"/>
  <c r="AB209" i="1" s="1"/>
  <c r="AL172" i="1"/>
  <c r="AW189" i="1"/>
  <c r="AW205" i="1" s="1"/>
  <c r="BN189" i="1"/>
  <c r="BN205" i="1" s="1"/>
  <c r="BI189" i="1"/>
  <c r="BA189" i="1"/>
  <c r="BA205" i="1" s="1"/>
  <c r="AS172" i="1"/>
  <c r="AS193" i="1" s="1"/>
  <c r="AS209" i="1" s="1"/>
  <c r="BH172" i="1"/>
  <c r="BH193" i="1" s="1"/>
  <c r="AH172" i="1"/>
  <c r="AH193" i="1" s="1"/>
  <c r="AH209" i="1" s="1"/>
  <c r="AO172" i="1"/>
  <c r="L170" i="1"/>
  <c r="L192" i="1" s="1"/>
  <c r="J171" i="1"/>
  <c r="BR177" i="1"/>
  <c r="BL173" i="1"/>
  <c r="BL189" i="1" s="1"/>
  <c r="BS176" i="1"/>
  <c r="AQ172" i="1"/>
  <c r="AQ193" i="1" s="1"/>
  <c r="AQ209" i="1" s="1"/>
  <c r="AJ172" i="1"/>
  <c r="AJ193" i="1" s="1"/>
  <c r="AS189" i="1"/>
  <c r="AS205" i="1" s="1"/>
  <c r="AK189" i="1"/>
  <c r="AK205" i="1" s="1"/>
  <c r="AC189" i="1"/>
  <c r="AC205" i="1" s="1"/>
  <c r="U189" i="1"/>
  <c r="U205" i="1" s="1"/>
  <c r="G189" i="1"/>
  <c r="G205" i="1" s="1"/>
  <c r="AE172" i="1"/>
  <c r="K172" i="1"/>
  <c r="AP172" i="1"/>
  <c r="AP193" i="1" s="1"/>
  <c r="BU189" i="1"/>
  <c r="BU205" i="1" s="1"/>
  <c r="AG172" i="1"/>
  <c r="Z172" i="1"/>
  <c r="BD172" i="1"/>
  <c r="E189" i="1"/>
  <c r="E205" i="1" s="1"/>
  <c r="P169" i="1"/>
  <c r="D171" i="1"/>
  <c r="L253" i="1"/>
  <c r="V172" i="1"/>
  <c r="F172" i="1"/>
  <c r="AT172" i="1"/>
  <c r="J172" i="1"/>
  <c r="AI172" i="1"/>
  <c r="BG172" i="1"/>
  <c r="BG193" i="1" s="1"/>
  <c r="BG209" i="1" s="1"/>
  <c r="BG190" i="1"/>
  <c r="BG206" i="1" s="1"/>
  <c r="AP189" i="1"/>
  <c r="AH189" i="1"/>
  <c r="AH205" i="1" s="1"/>
  <c r="Z189" i="1"/>
  <c r="Z205" i="1" s="1"/>
  <c r="CS176" i="1"/>
  <c r="CS192" i="1" s="1"/>
  <c r="CS208" i="1" s="1"/>
  <c r="Y189" i="1"/>
  <c r="C172" i="1"/>
  <c r="AM172" i="1"/>
  <c r="L169" i="1"/>
  <c r="L191" i="1" s="1"/>
  <c r="BE189" i="1"/>
  <c r="BE205" i="1" s="1"/>
  <c r="AN189" i="1"/>
  <c r="AN205" i="1" s="1"/>
  <c r="AF189" i="1"/>
  <c r="AF205" i="1" s="1"/>
  <c r="X189" i="1"/>
  <c r="X205" i="1" s="1"/>
  <c r="J189" i="1"/>
  <c r="J205" i="1" s="1"/>
  <c r="AV169" i="1"/>
  <c r="M170" i="1"/>
  <c r="P173" i="1"/>
  <c r="P189" i="1" s="1"/>
  <c r="P205" i="1" s="1"/>
  <c r="L237" i="1"/>
  <c r="AJ253" i="1"/>
  <c r="AA172" i="1"/>
  <c r="BZ189" i="1"/>
  <c r="BZ205" i="1" s="1"/>
  <c r="AG189" i="1"/>
  <c r="AG205" i="1" s="1"/>
  <c r="AF172" i="1"/>
  <c r="AR172" i="1"/>
  <c r="AR193" i="1" s="1"/>
  <c r="AR209" i="1" s="1"/>
  <c r="BD189" i="1"/>
  <c r="BD205" i="1" s="1"/>
  <c r="W189" i="1"/>
  <c r="W221" i="1" s="1"/>
  <c r="I189" i="1"/>
  <c r="I205" i="1" s="1"/>
  <c r="AU169" i="1"/>
  <c r="F170" i="1"/>
  <c r="G224" i="1" s="1"/>
  <c r="G240" i="1" s="1"/>
  <c r="CR173" i="1"/>
  <c r="CR189" i="1" s="1"/>
  <c r="CR205" i="1" s="1"/>
  <c r="AO189" i="1"/>
  <c r="AO205" i="1" s="1"/>
  <c r="AN172" i="1"/>
  <c r="AN193" i="1" s="1"/>
  <c r="AN209" i="1" s="1"/>
  <c r="BQ189" i="1"/>
  <c r="G172" i="1"/>
  <c r="AT189" i="1"/>
  <c r="AT205" i="1" s="1"/>
  <c r="E170" i="1"/>
  <c r="CB191" i="1"/>
  <c r="CB207" i="1" s="1"/>
  <c r="CB189" i="1"/>
  <c r="CB205" i="1" s="1"/>
  <c r="CS191" i="1"/>
  <c r="CS207" i="1" s="1"/>
  <c r="CH191" i="1"/>
  <c r="CH189" i="1"/>
  <c r="CH205" i="1" s="1"/>
  <c r="C180" i="1"/>
  <c r="C171" i="1"/>
  <c r="C169" i="1"/>
  <c r="N169" i="1"/>
  <c r="BX177" i="1"/>
  <c r="BX193" i="1" s="1"/>
  <c r="BX209" i="1" s="1"/>
  <c r="CP168" i="1"/>
  <c r="CP190" i="1" s="1"/>
  <c r="CP206" i="1" s="1"/>
  <c r="BB189" i="1"/>
  <c r="AL189" i="1"/>
  <c r="AL205" i="1" s="1"/>
  <c r="AD205" i="1"/>
  <c r="V189" i="1"/>
  <c r="V205" i="1" s="1"/>
  <c r="F189" i="1"/>
  <c r="F205" i="1" s="1"/>
  <c r="T169" i="1"/>
  <c r="D169" i="1"/>
  <c r="AX170" i="1"/>
  <c r="AX192" i="1" s="1"/>
  <c r="AX208" i="1" s="1"/>
  <c r="R170" i="1"/>
  <c r="J170" i="1"/>
  <c r="K224" i="1" s="1"/>
  <c r="K240" i="1" s="1"/>
  <c r="AV171" i="1"/>
  <c r="AV193" i="1" s="1"/>
  <c r="P171" i="1"/>
  <c r="P225" i="1" s="1"/>
  <c r="P241" i="1" s="1"/>
  <c r="H171" i="1"/>
  <c r="H225" i="1" s="1"/>
  <c r="H241" i="1" s="1"/>
  <c r="CN173" i="1"/>
  <c r="CN189" i="1" s="1"/>
  <c r="CN205" i="1" s="1"/>
  <c r="BX173" i="1"/>
  <c r="BX189" i="1" s="1"/>
  <c r="BX205" i="1" s="1"/>
  <c r="T173" i="1"/>
  <c r="T189" i="1" s="1"/>
  <c r="CD174" i="1"/>
  <c r="CD190" i="1" s="1"/>
  <c r="CD206" i="1" s="1"/>
  <c r="R174" i="1"/>
  <c r="R190" i="1" s="1"/>
  <c r="CR175" i="1"/>
  <c r="CR191" i="1" s="1"/>
  <c r="CR207" i="1" s="1"/>
  <c r="CJ175" i="1"/>
  <c r="CJ191" i="1" s="1"/>
  <c r="CJ223" i="1" s="1"/>
  <c r="BL175" i="1"/>
  <c r="BL191" i="1" s="1"/>
  <c r="P175" i="1"/>
  <c r="BR176" i="1"/>
  <c r="N176" i="1"/>
  <c r="CK177" i="1"/>
  <c r="CK193" i="1" s="1"/>
  <c r="CK209" i="1" s="1"/>
  <c r="Q177" i="1"/>
  <c r="Q193" i="1" s="1"/>
  <c r="Q209" i="1" s="1"/>
  <c r="CC191" i="1"/>
  <c r="CC207" i="1" s="1"/>
  <c r="O169" i="1"/>
  <c r="S171" i="1"/>
  <c r="S193" i="1" s="1"/>
  <c r="S209" i="1" s="1"/>
  <c r="CG168" i="1"/>
  <c r="CG190" i="1" s="1"/>
  <c r="CG206" i="1" s="1"/>
  <c r="S169" i="1"/>
  <c r="K169" i="1"/>
  <c r="K191" i="1" s="1"/>
  <c r="AW170" i="1"/>
  <c r="AW192" i="1" s="1"/>
  <c r="AW208" i="1" s="1"/>
  <c r="Q170" i="1"/>
  <c r="I170" i="1"/>
  <c r="I192" i="1" s="1"/>
  <c r="I208" i="1" s="1"/>
  <c r="AU171" i="1"/>
  <c r="O171" i="1"/>
  <c r="G171" i="1"/>
  <c r="CE173" i="1"/>
  <c r="CE189" i="1" s="1"/>
  <c r="CE205" i="1" s="1"/>
  <c r="BW173" i="1"/>
  <c r="BW189" i="1" s="1"/>
  <c r="BW205" i="1" s="1"/>
  <c r="S173" i="1"/>
  <c r="S189" i="1" s="1"/>
  <c r="CS174" i="1"/>
  <c r="CS190" i="1" s="1"/>
  <c r="CS206" i="1" s="1"/>
  <c r="CK174" i="1"/>
  <c r="CK190" i="1" s="1"/>
  <c r="CK206" i="1" s="1"/>
  <c r="CC174" i="1"/>
  <c r="BM174" i="1"/>
  <c r="Q174" i="1"/>
  <c r="Q190" i="1" s="1"/>
  <c r="Q206" i="1" s="1"/>
  <c r="BS175" i="1"/>
  <c r="O175" i="1"/>
  <c r="CO176" i="1"/>
  <c r="BY176" i="1"/>
  <c r="BY192" i="1" s="1"/>
  <c r="BY208" i="1" s="1"/>
  <c r="M176" i="1"/>
  <c r="O177" i="1"/>
  <c r="CK191" i="1"/>
  <c r="CK207" i="1" s="1"/>
  <c r="J169" i="1"/>
  <c r="J191" i="1" s="1"/>
  <c r="J207" i="1" s="1"/>
  <c r="H170" i="1"/>
  <c r="H192" i="1" s="1"/>
  <c r="H208" i="1" s="1"/>
  <c r="N171" i="1"/>
  <c r="F171" i="1"/>
  <c r="F225" i="1" s="1"/>
  <c r="F241" i="1" s="1"/>
  <c r="AZ172" i="1"/>
  <c r="AZ193" i="1" s="1"/>
  <c r="AZ209" i="1" s="1"/>
  <c r="CD173" i="1"/>
  <c r="CD189" i="1" s="1"/>
  <c r="CD205" i="1" s="1"/>
  <c r="R173" i="1"/>
  <c r="R189" i="1" s="1"/>
  <c r="CR174" i="1"/>
  <c r="CR190" i="1" s="1"/>
  <c r="CR206" i="1" s="1"/>
  <c r="CJ174" i="1"/>
  <c r="CJ190" i="1" s="1"/>
  <c r="BL174" i="1"/>
  <c r="BL190" i="1" s="1"/>
  <c r="P174" i="1"/>
  <c r="Q222" i="1" s="1"/>
  <c r="Q238" i="1" s="1"/>
  <c r="BR175" i="1"/>
  <c r="N175" i="1"/>
  <c r="CN176" i="1"/>
  <c r="CN192" i="1" s="1"/>
  <c r="CN208" i="1" s="1"/>
  <c r="BX176" i="1"/>
  <c r="BX192" i="1" s="1"/>
  <c r="BX208" i="1" s="1"/>
  <c r="T176" i="1"/>
  <c r="T192" i="1" s="1"/>
  <c r="BW177" i="1"/>
  <c r="BW193" i="1" s="1"/>
  <c r="BW209" i="1" s="1"/>
  <c r="CF168" i="1"/>
  <c r="CF190" i="1" s="1"/>
  <c r="CF206" i="1" s="1"/>
  <c r="Q169" i="1"/>
  <c r="Q191" i="1" s="1"/>
  <c r="Q207" i="1" s="1"/>
  <c r="I169" i="1"/>
  <c r="I191" i="1" s="1"/>
  <c r="I207" i="1" s="1"/>
  <c r="M171" i="1"/>
  <c r="N225" i="1" s="1"/>
  <c r="N241" i="1" s="1"/>
  <c r="E171" i="1"/>
  <c r="CS173" i="1"/>
  <c r="CS189" i="1" s="1"/>
  <c r="CS205" i="1" s="1"/>
  <c r="CK173" i="1"/>
  <c r="CK189" i="1" s="1"/>
  <c r="CK205" i="1" s="1"/>
  <c r="CC173" i="1"/>
  <c r="CC189" i="1" s="1"/>
  <c r="CC205" i="1" s="1"/>
  <c r="BM173" i="1"/>
  <c r="BM189" i="1" s="1"/>
  <c r="BM205" i="1" s="1"/>
  <c r="Q173" i="1"/>
  <c r="Q189" i="1" s="1"/>
  <c r="BS174" i="1"/>
  <c r="BS190" i="1" s="1"/>
  <c r="O174" i="1"/>
  <c r="O190" i="1" s="1"/>
  <c r="CO175" i="1"/>
  <c r="CO191" i="1" s="1"/>
  <c r="CO207" i="1" s="1"/>
  <c r="BY175" i="1"/>
  <c r="BY191" i="1" s="1"/>
  <c r="BY207" i="1" s="1"/>
  <c r="M175" i="1"/>
  <c r="M223" i="1" s="1"/>
  <c r="M239" i="1" s="1"/>
  <c r="CE176" i="1"/>
  <c r="BW176" i="1"/>
  <c r="BW192" i="1" s="1"/>
  <c r="BW208" i="1" s="1"/>
  <c r="S176" i="1"/>
  <c r="S192" i="1" s="1"/>
  <c r="S208" i="1" s="1"/>
  <c r="CS177" i="1"/>
  <c r="CS193" i="1" s="1"/>
  <c r="CS209" i="1" s="1"/>
  <c r="BM177" i="1"/>
  <c r="BM193" i="1" s="1"/>
  <c r="BM209" i="1" s="1"/>
  <c r="BF190" i="1"/>
  <c r="BF206" i="1" s="1"/>
  <c r="T171" i="1"/>
  <c r="T193" i="1" s="1"/>
  <c r="L171" i="1"/>
  <c r="L193" i="1" s="1"/>
  <c r="CJ173" i="1"/>
  <c r="CJ189" i="1" s="1"/>
  <c r="BR174" i="1"/>
  <c r="BR190" i="1" s="1"/>
  <c r="BR206" i="1" s="1"/>
  <c r="N174" i="1"/>
  <c r="N190" i="1" s="1"/>
  <c r="N206" i="1" s="1"/>
  <c r="CN175" i="1"/>
  <c r="CN191" i="1" s="1"/>
  <c r="CN207" i="1" s="1"/>
  <c r="BX175" i="1"/>
  <c r="BX191" i="1" s="1"/>
  <c r="BX207" i="1" s="1"/>
  <c r="T175" i="1"/>
  <c r="CD176" i="1"/>
  <c r="CD192" i="1" s="1"/>
  <c r="CD208" i="1" s="1"/>
  <c r="R176" i="1"/>
  <c r="O173" i="1"/>
  <c r="O189" i="1" s="1"/>
  <c r="CO174" i="1"/>
  <c r="CO190" i="1" s="1"/>
  <c r="CO206" i="1" s="1"/>
  <c r="M174" i="1"/>
  <c r="M190" i="1" s="1"/>
  <c r="M206" i="1" s="1"/>
  <c r="CE175" i="1"/>
  <c r="CE191" i="1" s="1"/>
  <c r="BW175" i="1"/>
  <c r="BW191" i="1" s="1"/>
  <c r="BW207" i="1" s="1"/>
  <c r="S175" i="1"/>
  <c r="CK176" i="1"/>
  <c r="CK192" i="1" s="1"/>
  <c r="CK208" i="1" s="1"/>
  <c r="BM176" i="1"/>
  <c r="BM192" i="1" s="1"/>
  <c r="BM208" i="1" s="1"/>
  <c r="Q176" i="1"/>
  <c r="CE177" i="1"/>
  <c r="AP190" i="1"/>
  <c r="Z190" i="1"/>
  <c r="Z206" i="1" s="1"/>
  <c r="CL189" i="1"/>
  <c r="CL191" i="1"/>
  <c r="BY177" i="1"/>
  <c r="BY193" i="1" s="1"/>
  <c r="BY209" i="1" s="1"/>
  <c r="BR173" i="1"/>
  <c r="BR189" i="1" s="1"/>
  <c r="BR205" i="1" s="1"/>
  <c r="N173" i="1"/>
  <c r="N189" i="1" s="1"/>
  <c r="N205" i="1" s="1"/>
  <c r="CN174" i="1"/>
  <c r="CN190" i="1" s="1"/>
  <c r="CN206" i="1" s="1"/>
  <c r="BX174" i="1"/>
  <c r="BX190" i="1" s="1"/>
  <c r="BX206" i="1" s="1"/>
  <c r="T174" i="1"/>
  <c r="T190" i="1" s="1"/>
  <c r="CD175" i="1"/>
  <c r="CD191" i="1" s="1"/>
  <c r="CD207" i="1" s="1"/>
  <c r="R175" i="1"/>
  <c r="CR176" i="1"/>
  <c r="CJ176" i="1"/>
  <c r="BL176" i="1"/>
  <c r="BL192" i="1" s="1"/>
  <c r="P176" i="1"/>
  <c r="P192" i="1" s="1"/>
  <c r="CC177" i="1"/>
  <c r="CC193" i="1" s="1"/>
  <c r="CC209" i="1" s="1"/>
  <c r="BS177" i="1"/>
  <c r="C189" i="1"/>
  <c r="C237" i="1" s="1"/>
  <c r="C190" i="1"/>
  <c r="C206" i="1" s="1"/>
  <c r="CQ168" i="1"/>
  <c r="CQ190" i="1" s="1"/>
  <c r="CQ206" i="1" s="1"/>
  <c r="CI168" i="1"/>
  <c r="CI190" i="1" s="1"/>
  <c r="CI206" i="1" s="1"/>
  <c r="AM189" i="1"/>
  <c r="AM205" i="1" s="1"/>
  <c r="AE189" i="1"/>
  <c r="AE205" i="1" s="1"/>
  <c r="BC172" i="1"/>
  <c r="CO173" i="1"/>
  <c r="CO189" i="1" s="1"/>
  <c r="CO205" i="1" s="1"/>
  <c r="BY173" i="1"/>
  <c r="BY189" i="1" s="1"/>
  <c r="BY205" i="1" s="1"/>
  <c r="M173" i="1"/>
  <c r="M221" i="1" s="1"/>
  <c r="S174" i="1"/>
  <c r="S190" i="1" s="1"/>
  <c r="S206" i="1" s="1"/>
  <c r="AV205" i="1"/>
  <c r="CE190" i="1"/>
  <c r="CE206" i="1" s="1"/>
  <c r="AQ190" i="1"/>
  <c r="AQ206" i="1" s="1"/>
  <c r="AI190" i="1"/>
  <c r="AI206" i="1" s="1"/>
  <c r="AA190" i="1"/>
  <c r="AA206" i="1" s="1"/>
  <c r="K190" i="1"/>
  <c r="Z192" i="1"/>
  <c r="Z208" i="1" s="1"/>
  <c r="AX193" i="1"/>
  <c r="AX209" i="1" s="1"/>
  <c r="BO193" i="1"/>
  <c r="BO209" i="1" s="1"/>
  <c r="AY193" i="1"/>
  <c r="AY209" i="1" s="1"/>
  <c r="BV193" i="1"/>
  <c r="BV209" i="1" s="1"/>
  <c r="BV192" i="1"/>
  <c r="BV208" i="1" s="1"/>
  <c r="AH190" i="1"/>
  <c r="AH206" i="1" s="1"/>
  <c r="AX190" i="1"/>
  <c r="AX206" i="1" s="1"/>
  <c r="AY190" i="1"/>
  <c r="AY206" i="1" s="1"/>
  <c r="BO190" i="1"/>
  <c r="BO206" i="1" s="1"/>
  <c r="BN192" i="1"/>
  <c r="BN208" i="1" s="1"/>
  <c r="CH190" i="1"/>
  <c r="CH206" i="1" s="1"/>
  <c r="AD206" i="1"/>
  <c r="CL192" i="1"/>
  <c r="BA190" i="1"/>
  <c r="BA206" i="1" s="1"/>
  <c r="BA191" i="1"/>
  <c r="BA207" i="1" s="1"/>
  <c r="CA190" i="1"/>
  <c r="CA206" i="1" s="1"/>
  <c r="BK190" i="1"/>
  <c r="BK206" i="1" s="1"/>
  <c r="BC190" i="1"/>
  <c r="BC206" i="1" s="1"/>
  <c r="AU190" i="1"/>
  <c r="AU206" i="1" s="1"/>
  <c r="AM190" i="1"/>
  <c r="AM206" i="1" s="1"/>
  <c r="AE190" i="1"/>
  <c r="AE206" i="1" s="1"/>
  <c r="W190" i="1"/>
  <c r="G190" i="1"/>
  <c r="G206" i="1" s="1"/>
  <c r="AH192" i="1"/>
  <c r="AH208" i="1" s="1"/>
  <c r="BL193" i="1"/>
  <c r="CM193" i="1"/>
  <c r="CM209" i="1" s="1"/>
  <c r="CM189" i="1"/>
  <c r="CM205" i="1" s="1"/>
  <c r="BO192" i="1"/>
  <c r="BO208" i="1" s="1"/>
  <c r="BO189" i="1"/>
  <c r="BO205" i="1" s="1"/>
  <c r="BO191" i="1"/>
  <c r="BO207" i="1" s="1"/>
  <c r="BG192" i="1"/>
  <c r="BG208" i="1" s="1"/>
  <c r="BG189" i="1"/>
  <c r="BG205" i="1" s="1"/>
  <c r="BG191" i="1"/>
  <c r="BG207" i="1" s="1"/>
  <c r="AY192" i="1"/>
  <c r="AY208" i="1" s="1"/>
  <c r="AY189" i="1"/>
  <c r="AY205" i="1" s="1"/>
  <c r="AY191" i="1"/>
  <c r="AY207" i="1" s="1"/>
  <c r="AQ192" i="1"/>
  <c r="AQ208" i="1" s="1"/>
  <c r="AQ189" i="1"/>
  <c r="AQ205" i="1" s="1"/>
  <c r="AQ191" i="1"/>
  <c r="AQ207" i="1" s="1"/>
  <c r="AI189" i="1"/>
  <c r="AI205" i="1" s="1"/>
  <c r="AI191" i="1"/>
  <c r="AI207" i="1" s="1"/>
  <c r="AA192" i="1"/>
  <c r="AA208" i="1" s="1"/>
  <c r="AA193" i="1"/>
  <c r="AA209" i="1" s="1"/>
  <c r="AA189" i="1"/>
  <c r="AA205" i="1" s="1"/>
  <c r="AA191" i="1"/>
  <c r="AA207" i="1" s="1"/>
  <c r="K192" i="1"/>
  <c r="K189" i="1"/>
  <c r="AT190" i="1"/>
  <c r="AT206" i="1" s="1"/>
  <c r="AC192" i="1"/>
  <c r="AC208" i="1" s="1"/>
  <c r="AC190" i="1"/>
  <c r="AC206" i="1" s="1"/>
  <c r="AC193" i="1"/>
  <c r="AC209" i="1" s="1"/>
  <c r="AC191" i="1"/>
  <c r="AC207" i="1" s="1"/>
  <c r="BJ190" i="1"/>
  <c r="F190" i="1"/>
  <c r="F206" i="1" s="1"/>
  <c r="AS192" i="1"/>
  <c r="AS208" i="1" s="1"/>
  <c r="AS190" i="1"/>
  <c r="AS206" i="1" s="1"/>
  <c r="AS191" i="1"/>
  <c r="AS207" i="1" s="1"/>
  <c r="CN193" i="1"/>
  <c r="CN209" i="1" s="1"/>
  <c r="BP192" i="1"/>
  <c r="BP208" i="1" s="1"/>
  <c r="BP190" i="1"/>
  <c r="BP206" i="1" s="1"/>
  <c r="BP193" i="1"/>
  <c r="BP209" i="1" s="1"/>
  <c r="BP191" i="1"/>
  <c r="BP207" i="1" s="1"/>
  <c r="BH192" i="1"/>
  <c r="BH190" i="1"/>
  <c r="BH191" i="1"/>
  <c r="AZ192" i="1"/>
  <c r="AZ208" i="1" s="1"/>
  <c r="AZ190" i="1"/>
  <c r="AZ206" i="1" s="1"/>
  <c r="AZ191" i="1"/>
  <c r="AZ207" i="1" s="1"/>
  <c r="AR192" i="1"/>
  <c r="AR208" i="1" s="1"/>
  <c r="AR190" i="1"/>
  <c r="AR206" i="1" s="1"/>
  <c r="AR191" i="1"/>
  <c r="AR207" i="1" s="1"/>
  <c r="AJ192" i="1"/>
  <c r="AJ190" i="1"/>
  <c r="AJ191" i="1"/>
  <c r="AB192" i="1"/>
  <c r="AB208" i="1" s="1"/>
  <c r="AB190" i="1"/>
  <c r="AB206" i="1" s="1"/>
  <c r="AB191" i="1"/>
  <c r="AB207" i="1" s="1"/>
  <c r="L190" i="1"/>
  <c r="D208" i="1"/>
  <c r="AL190" i="1"/>
  <c r="AL206" i="1" s="1"/>
  <c r="AK192" i="1"/>
  <c r="AK208" i="1" s="1"/>
  <c r="AK190" i="1"/>
  <c r="AK206" i="1" s="1"/>
  <c r="AK193" i="1"/>
  <c r="AK209" i="1" s="1"/>
  <c r="AK191" i="1"/>
  <c r="AK207" i="1" s="1"/>
  <c r="AF193" i="1"/>
  <c r="AF209" i="1" s="1"/>
  <c r="BQ192" i="1"/>
  <c r="BQ190" i="1"/>
  <c r="BQ193" i="1"/>
  <c r="BQ191" i="1"/>
  <c r="U192" i="1"/>
  <c r="U208" i="1" s="1"/>
  <c r="U190" i="1"/>
  <c r="U206" i="1" s="1"/>
  <c r="U191" i="1"/>
  <c r="U207" i="1" s="1"/>
  <c r="CL193" i="1"/>
  <c r="CL190" i="1"/>
  <c r="CD193" i="1"/>
  <c r="CD209" i="1" s="1"/>
  <c r="BV191" i="1"/>
  <c r="BV207" i="1" s="1"/>
  <c r="BV190" i="1"/>
  <c r="BV206" i="1" s="1"/>
  <c r="BN193" i="1"/>
  <c r="BN209" i="1" s="1"/>
  <c r="BN191" i="1"/>
  <c r="BN207" i="1" s="1"/>
  <c r="BF193" i="1"/>
  <c r="BF209" i="1" s="1"/>
  <c r="BF191" i="1"/>
  <c r="BF207" i="1" s="1"/>
  <c r="AX191" i="1"/>
  <c r="AX207" i="1" s="1"/>
  <c r="AP191" i="1"/>
  <c r="AH191" i="1"/>
  <c r="AH207" i="1" s="1"/>
  <c r="Z191" i="1"/>
  <c r="Z207" i="1" s="1"/>
  <c r="R193" i="1"/>
  <c r="BF192" i="1"/>
  <c r="BF208" i="1" s="1"/>
  <c r="BZ190" i="1"/>
  <c r="BZ206" i="1" s="1"/>
  <c r="V190" i="1"/>
  <c r="V206" i="1" s="1"/>
  <c r="BI192" i="1"/>
  <c r="BI190" i="1"/>
  <c r="BI191" i="1"/>
  <c r="E192" i="1"/>
  <c r="E208" i="1" s="1"/>
  <c r="E190" i="1"/>
  <c r="E206" i="1" s="1"/>
  <c r="CC190" i="1"/>
  <c r="CC206" i="1" s="1"/>
  <c r="BU193" i="1"/>
  <c r="BU209" i="1" s="1"/>
  <c r="BU191" i="1"/>
  <c r="BU207" i="1" s="1"/>
  <c r="BU190" i="1"/>
  <c r="BU206" i="1" s="1"/>
  <c r="BU192" i="1"/>
  <c r="BU208" i="1" s="1"/>
  <c r="BM191" i="1"/>
  <c r="BM207" i="1" s="1"/>
  <c r="BM190" i="1"/>
  <c r="BM206" i="1" s="1"/>
  <c r="BE193" i="1"/>
  <c r="BE209" i="1" s="1"/>
  <c r="BE191" i="1"/>
  <c r="BE207" i="1" s="1"/>
  <c r="BE192" i="1"/>
  <c r="BE208" i="1" s="1"/>
  <c r="BE190" i="1"/>
  <c r="BE206" i="1" s="1"/>
  <c r="AW193" i="1"/>
  <c r="AW209" i="1" s="1"/>
  <c r="AW191" i="1"/>
  <c r="AW207" i="1" s="1"/>
  <c r="AW190" i="1"/>
  <c r="AW206" i="1" s="1"/>
  <c r="AO193" i="1"/>
  <c r="AO209" i="1" s="1"/>
  <c r="AO191" i="1"/>
  <c r="AO207" i="1" s="1"/>
  <c r="AO192" i="1"/>
  <c r="AO208" i="1" s="1"/>
  <c r="AO190" i="1"/>
  <c r="AO206" i="1" s="1"/>
  <c r="AG193" i="1"/>
  <c r="AG209" i="1" s="1"/>
  <c r="AG191" i="1"/>
  <c r="AG207" i="1" s="1"/>
  <c r="AG192" i="1"/>
  <c r="AG208" i="1" s="1"/>
  <c r="AG190" i="1"/>
  <c r="AG206" i="1" s="1"/>
  <c r="Y193" i="1"/>
  <c r="Y191" i="1"/>
  <c r="Y192" i="1"/>
  <c r="Y190" i="1"/>
  <c r="I193" i="1"/>
  <c r="I209" i="1" s="1"/>
  <c r="I190" i="1"/>
  <c r="I206" i="1" s="1"/>
  <c r="Z193" i="1"/>
  <c r="Z209" i="1" s="1"/>
  <c r="J190" i="1"/>
  <c r="J206" i="1" s="1"/>
  <c r="V191" i="1"/>
  <c r="V207" i="1" s="1"/>
  <c r="E191" i="1"/>
  <c r="E207" i="1" s="1"/>
  <c r="BB190" i="1"/>
  <c r="M193" i="1"/>
  <c r="M209" i="1" s="1"/>
  <c r="CB190" i="1"/>
  <c r="CB206" i="1" s="1"/>
  <c r="BT191" i="1"/>
  <c r="BT207" i="1" s="1"/>
  <c r="BT190" i="1"/>
  <c r="BT206" i="1" s="1"/>
  <c r="BT192" i="1"/>
  <c r="BT208" i="1" s="1"/>
  <c r="BD191" i="1"/>
  <c r="BD207" i="1" s="1"/>
  <c r="BD190" i="1"/>
  <c r="BD206" i="1" s="1"/>
  <c r="AV191" i="1"/>
  <c r="AV192" i="1"/>
  <c r="AV190" i="1"/>
  <c r="AN191" i="1"/>
  <c r="AN207" i="1" s="1"/>
  <c r="AN192" i="1"/>
  <c r="AN208" i="1" s="1"/>
  <c r="AN190" i="1"/>
  <c r="AN206" i="1" s="1"/>
  <c r="AF191" i="1"/>
  <c r="AF207" i="1" s="1"/>
  <c r="AF192" i="1"/>
  <c r="AF208" i="1" s="1"/>
  <c r="AF190" i="1"/>
  <c r="AF206" i="1" s="1"/>
  <c r="X190" i="1"/>
  <c r="X206" i="1" s="1"/>
  <c r="H191" i="1"/>
  <c r="H207" i="1" s="1"/>
  <c r="H190" i="1"/>
  <c r="H206" i="1" s="1"/>
  <c r="BN190" i="1"/>
  <c r="BN206" i="1" s="1"/>
  <c r="AP192" i="1"/>
  <c r="BT193" i="1"/>
  <c r="BT209" i="1" s="1"/>
  <c r="E182" i="1"/>
  <c r="C170" i="1"/>
  <c r="CC34" i="1"/>
  <c r="CC10" i="1"/>
  <c r="CC11" i="1"/>
  <c r="BW11" i="1"/>
  <c r="BG11" i="1"/>
  <c r="BZ11" i="1"/>
  <c r="BZ34" i="1"/>
  <c r="BZ10" i="1"/>
  <c r="BG10" i="1"/>
  <c r="BW34" i="1"/>
  <c r="BW10" i="1"/>
  <c r="BA11" i="1"/>
  <c r="BT11" i="1"/>
  <c r="BT34" i="1"/>
  <c r="BT10" i="1"/>
  <c r="BD11" i="1"/>
  <c r="BA10" i="1"/>
  <c r="BD10" i="1"/>
  <c r="AL10" i="1"/>
  <c r="AR10" i="1"/>
  <c r="AF10" i="1"/>
  <c r="U10" i="1"/>
  <c r="BX11" i="1"/>
  <c r="BP34" i="1"/>
  <c r="CA34" i="1"/>
  <c r="AO10" i="1"/>
  <c r="AC10" i="1"/>
  <c r="BH11" i="1"/>
  <c r="AI10" i="1"/>
  <c r="BO10" i="1"/>
  <c r="W10" i="1"/>
  <c r="D10" i="1"/>
  <c r="CS10" i="1"/>
  <c r="CB10" i="1"/>
  <c r="I10" i="1"/>
  <c r="Z10" i="1"/>
  <c r="AY11" i="1"/>
  <c r="P10" i="1"/>
  <c r="BV10" i="1"/>
  <c r="AV10" i="1"/>
  <c r="BB11" i="1"/>
  <c r="CD34" i="1"/>
  <c r="BR10" i="1"/>
  <c r="AN10" i="1"/>
  <c r="BE11" i="1"/>
  <c r="G10" i="1"/>
  <c r="BF10" i="1"/>
  <c r="AJ10" i="1"/>
  <c r="AM10" i="1"/>
  <c r="BE10" i="1"/>
  <c r="BU34" i="1"/>
  <c r="R10" i="1"/>
  <c r="Y10" i="1"/>
  <c r="BR11" i="1"/>
  <c r="CN11" i="1"/>
  <c r="BP11" i="1"/>
  <c r="BP41" i="1" s="1"/>
  <c r="CA11" i="1"/>
  <c r="CA41" i="1" s="1"/>
  <c r="Q10" i="1"/>
  <c r="J10" i="1"/>
  <c r="AE10" i="1"/>
  <c r="AX10" i="1"/>
  <c r="BQ10" i="1"/>
  <c r="AW10" i="1"/>
  <c r="AQ10" i="1"/>
  <c r="V10" i="1"/>
  <c r="AK10" i="1"/>
  <c r="BY10" i="1"/>
  <c r="T10" i="1"/>
  <c r="CD11" i="1"/>
  <c r="BJ11" i="1"/>
  <c r="BU10" i="1"/>
  <c r="CH11" i="1"/>
  <c r="E10" i="1"/>
  <c r="X10" i="1"/>
  <c r="AU10" i="1"/>
  <c r="BX34" i="1"/>
  <c r="AT10" i="1"/>
  <c r="BL10" i="1"/>
  <c r="CJ11" i="1"/>
  <c r="K10" i="1"/>
  <c r="AA10" i="1"/>
  <c r="BJ34" i="1"/>
  <c r="CL11" i="1"/>
  <c r="BJ10" i="1"/>
  <c r="BL34" i="1"/>
  <c r="C10" i="1"/>
  <c r="BM10" i="1"/>
  <c r="CK10" i="1"/>
  <c r="L10" i="1"/>
  <c r="AB10" i="1"/>
  <c r="AP10" i="1"/>
  <c r="BK10" i="1"/>
  <c r="AY10" i="1"/>
  <c r="CE10" i="1"/>
  <c r="CL10" i="1"/>
  <c r="F10" i="1"/>
  <c r="O10" i="1"/>
  <c r="BN11" i="1"/>
  <c r="CO10" i="1"/>
  <c r="BS10" i="1"/>
  <c r="M10" i="1"/>
  <c r="CR10" i="1"/>
  <c r="AG10" i="1"/>
  <c r="CH10" i="1"/>
  <c r="BU11" i="1"/>
  <c r="AD10" i="1"/>
  <c r="BN34" i="1"/>
  <c r="BR34" i="1"/>
  <c r="N10" i="1"/>
  <c r="S10" i="1"/>
  <c r="AS10" i="1"/>
  <c r="BH10" i="1"/>
  <c r="AH10" i="1"/>
  <c r="CP11" i="1"/>
  <c r="CD10" i="1"/>
  <c r="CR11" i="1"/>
  <c r="CJ10" i="1"/>
  <c r="CA10" i="1"/>
  <c r="BP10" i="1"/>
  <c r="BI10" i="1"/>
  <c r="CF11" i="1"/>
  <c r="BM34" i="1"/>
  <c r="BN10" i="1"/>
  <c r="BB10" i="1"/>
  <c r="H10" i="1"/>
  <c r="BK34" i="1"/>
  <c r="BX10" i="1"/>
  <c r="BL11" i="1"/>
  <c r="CN10" i="1"/>
  <c r="J192" i="1" l="1"/>
  <c r="J208" i="1" s="1"/>
  <c r="AV253" i="1"/>
  <c r="AV221" i="1"/>
  <c r="M189" i="1"/>
  <c r="M205" i="1" s="1"/>
  <c r="CG193" i="1"/>
  <c r="CG209" i="1" s="1"/>
  <c r="J193" i="1"/>
  <c r="J209" i="1" s="1"/>
  <c r="H193" i="1"/>
  <c r="H209" i="1" s="1"/>
  <c r="CG192" i="1"/>
  <c r="CG208" i="1" s="1"/>
  <c r="Q192" i="1"/>
  <c r="Q208" i="1" s="1"/>
  <c r="E193" i="1"/>
  <c r="E209" i="1" s="1"/>
  <c r="D193" i="1"/>
  <c r="D209" i="1" s="1"/>
  <c r="CM192" i="1"/>
  <c r="CM208" i="1" s="1"/>
  <c r="R191" i="1"/>
  <c r="R223" i="1" s="1"/>
  <c r="CM191" i="1"/>
  <c r="CM207" i="1" s="1"/>
  <c r="K193" i="1"/>
  <c r="K209" i="1" s="1"/>
  <c r="M192" i="1"/>
  <c r="M208" i="1" s="1"/>
  <c r="AJ205" i="1"/>
  <c r="AJ237" i="1"/>
  <c r="J225" i="1"/>
  <c r="J241" i="1" s="1"/>
  <c r="P223" i="1"/>
  <c r="P239" i="1" s="1"/>
  <c r="M191" i="1"/>
  <c r="M207" i="1" s="1"/>
  <c r="BS206" i="1"/>
  <c r="BS222" i="1"/>
  <c r="F224" i="1"/>
  <c r="F240" i="1" s="1"/>
  <c r="N221" i="1"/>
  <c r="N237" i="1" s="1"/>
  <c r="BQ207" i="1"/>
  <c r="BQ223" i="1"/>
  <c r="CL207" i="1"/>
  <c r="CL223" i="1"/>
  <c r="N224" i="1"/>
  <c r="N240" i="1" s="1"/>
  <c r="Q224" i="1"/>
  <c r="Q240" i="1" s="1"/>
  <c r="G225" i="1"/>
  <c r="G241" i="1" s="1"/>
  <c r="J224" i="1"/>
  <c r="J240" i="1" s="1"/>
  <c r="Q225" i="1"/>
  <c r="Q241" i="1" s="1"/>
  <c r="D223" i="1"/>
  <c r="D239" i="1" s="1"/>
  <c r="CJ206" i="1"/>
  <c r="CJ222" i="1"/>
  <c r="BQ209" i="1"/>
  <c r="BQ225" i="1"/>
  <c r="CL221" i="1"/>
  <c r="CL205" i="1"/>
  <c r="P190" i="1"/>
  <c r="P206" i="1" s="1"/>
  <c r="D249" i="1"/>
  <c r="D257" i="1" s="1"/>
  <c r="D225" i="1"/>
  <c r="D241" i="1" s="1"/>
  <c r="E225" i="1"/>
  <c r="E241" i="1" s="1"/>
  <c r="I224" i="1"/>
  <c r="I240" i="1" s="1"/>
  <c r="P191" i="1"/>
  <c r="P207" i="1" s="1"/>
  <c r="CL206" i="1"/>
  <c r="CL222" i="1"/>
  <c r="BQ206" i="1"/>
  <c r="BQ222" i="1"/>
  <c r="N223" i="1"/>
  <c r="N239" i="1" s="1"/>
  <c r="M225" i="1"/>
  <c r="M241" i="1" s="1"/>
  <c r="D247" i="1"/>
  <c r="D255" i="1" s="1"/>
  <c r="BL207" i="1"/>
  <c r="BL223" i="1"/>
  <c r="CL209" i="1"/>
  <c r="CL225" i="1"/>
  <c r="BQ208" i="1"/>
  <c r="BQ224" i="1"/>
  <c r="Q205" i="1"/>
  <c r="C191" i="1"/>
  <c r="C207" i="1" s="1"/>
  <c r="P224" i="1"/>
  <c r="P240" i="1" s="1"/>
  <c r="Q223" i="1"/>
  <c r="Q239" i="1" s="1"/>
  <c r="E223" i="1"/>
  <c r="E239" i="1" s="1"/>
  <c r="H224" i="1"/>
  <c r="H240" i="1" s="1"/>
  <c r="M224" i="1"/>
  <c r="M240" i="1" s="1"/>
  <c r="CL208" i="1"/>
  <c r="CL224" i="1"/>
  <c r="BL208" i="1"/>
  <c r="BL224" i="1"/>
  <c r="P222" i="1"/>
  <c r="P238" i="1" s="1"/>
  <c r="Q221" i="1"/>
  <c r="Q237" i="1" s="1"/>
  <c r="P221" i="1"/>
  <c r="P237" i="1" s="1"/>
  <c r="M237" i="1"/>
  <c r="K223" i="1"/>
  <c r="K239" i="1" s="1"/>
  <c r="CJ221" i="1"/>
  <c r="CJ205" i="1"/>
  <c r="BL206" i="1"/>
  <c r="BL222" i="1"/>
  <c r="S205" i="1"/>
  <c r="BQ221" i="1"/>
  <c r="BQ205" i="1"/>
  <c r="BL221" i="1"/>
  <c r="BL205" i="1"/>
  <c r="N222" i="1"/>
  <c r="N238" i="1" s="1"/>
  <c r="M222" i="1"/>
  <c r="M238" i="1" s="1"/>
  <c r="D191" i="1"/>
  <c r="D207" i="1" s="1"/>
  <c r="J223" i="1"/>
  <c r="J239" i="1" s="1"/>
  <c r="I225" i="1"/>
  <c r="I241" i="1" s="1"/>
  <c r="BL209" i="1"/>
  <c r="BL225" i="1"/>
  <c r="BS205" i="1"/>
  <c r="BS221" i="1"/>
  <c r="K225" i="1"/>
  <c r="K241" i="1" s="1"/>
  <c r="P193" i="1"/>
  <c r="P209" i="1" s="1"/>
  <c r="BI209" i="1"/>
  <c r="BI257" i="1"/>
  <c r="BI241" i="1"/>
  <c r="BI206" i="1"/>
  <c r="BI238" i="1"/>
  <c r="BI254" i="1"/>
  <c r="R192" i="1"/>
  <c r="R224" i="1" s="1"/>
  <c r="BB221" i="1"/>
  <c r="BB253" i="1"/>
  <c r="BB237" i="1"/>
  <c r="BI208" i="1"/>
  <c r="BI256" i="1"/>
  <c r="BI240" i="1"/>
  <c r="BJ205" i="1"/>
  <c r="BI205" i="1"/>
  <c r="BI253" i="1"/>
  <c r="BI237" i="1"/>
  <c r="BT41" i="1"/>
  <c r="S191" i="1"/>
  <c r="S207" i="1" s="1"/>
  <c r="BB254" i="1"/>
  <c r="BB238" i="1"/>
  <c r="BJ206" i="1"/>
  <c r="BJ222" i="1"/>
  <c r="BI207" i="1"/>
  <c r="BI239" i="1"/>
  <c r="BI255" i="1"/>
  <c r="C255" i="1"/>
  <c r="L209" i="1"/>
  <c r="L241" i="1"/>
  <c r="L257" i="1"/>
  <c r="T206" i="1"/>
  <c r="T238" i="1"/>
  <c r="T254" i="1"/>
  <c r="T253" i="1"/>
  <c r="T237" i="1"/>
  <c r="T205" i="1"/>
  <c r="C181" i="1"/>
  <c r="C182" i="1" s="1"/>
  <c r="C193" i="1" s="1"/>
  <c r="AP237" i="1"/>
  <c r="AP221" i="1"/>
  <c r="AP253" i="1"/>
  <c r="AP241" i="1"/>
  <c r="AP257" i="1"/>
  <c r="T208" i="1"/>
  <c r="T240" i="1"/>
  <c r="T256" i="1"/>
  <c r="AJ256" i="1"/>
  <c r="AJ240" i="1"/>
  <c r="BH207" i="1"/>
  <c r="BH223" i="1"/>
  <c r="T191" i="1"/>
  <c r="BH209" i="1"/>
  <c r="BH225" i="1"/>
  <c r="AJ238" i="1"/>
  <c r="AJ254" i="1"/>
  <c r="C221" i="1"/>
  <c r="C253" i="1"/>
  <c r="AV206" i="1"/>
  <c r="AV254" i="1"/>
  <c r="AV222" i="1"/>
  <c r="AV238" i="1"/>
  <c r="L207" i="1"/>
  <c r="L255" i="1"/>
  <c r="L239" i="1"/>
  <c r="BH206" i="1"/>
  <c r="BH222" i="1"/>
  <c r="AP238" i="1"/>
  <c r="AP254" i="1"/>
  <c r="O238" i="1"/>
  <c r="O254" i="1"/>
  <c r="Y205" i="1"/>
  <c r="Y237" i="1"/>
  <c r="Y253" i="1"/>
  <c r="BB205" i="1"/>
  <c r="AV208" i="1"/>
  <c r="AV256" i="1"/>
  <c r="AV224" i="1"/>
  <c r="AV240" i="1"/>
  <c r="Y206" i="1"/>
  <c r="Y254" i="1"/>
  <c r="Y238" i="1"/>
  <c r="BH208" i="1"/>
  <c r="BH224" i="1"/>
  <c r="W205" i="1"/>
  <c r="Y209" i="1"/>
  <c r="Y241" i="1"/>
  <c r="Y257" i="1"/>
  <c r="T209" i="1"/>
  <c r="T241" i="1"/>
  <c r="T257" i="1"/>
  <c r="AV207" i="1"/>
  <c r="AV255" i="1"/>
  <c r="AV223" i="1"/>
  <c r="AV239" i="1"/>
  <c r="Y208" i="1"/>
  <c r="Y240" i="1"/>
  <c r="Y256" i="1"/>
  <c r="L206" i="1"/>
  <c r="L254" i="1"/>
  <c r="L238" i="1"/>
  <c r="AJ239" i="1"/>
  <c r="AJ255" i="1"/>
  <c r="AV209" i="1"/>
  <c r="AV241" i="1"/>
  <c r="AV257" i="1"/>
  <c r="AV225" i="1"/>
  <c r="AP239" i="1"/>
  <c r="AP255" i="1"/>
  <c r="AP240" i="1"/>
  <c r="AP256" i="1"/>
  <c r="BB206" i="1"/>
  <c r="BB222" i="1"/>
  <c r="Y207" i="1"/>
  <c r="Y239" i="1"/>
  <c r="Y255" i="1"/>
  <c r="L208" i="1"/>
  <c r="L240" i="1"/>
  <c r="L256" i="1"/>
  <c r="AJ257" i="1"/>
  <c r="AJ241" i="1"/>
  <c r="C222" i="1"/>
  <c r="C238" i="1"/>
  <c r="C254" i="1"/>
  <c r="O253" i="1"/>
  <c r="O237" i="1"/>
  <c r="AP205" i="1"/>
  <c r="R205" i="1"/>
  <c r="R221" i="1"/>
  <c r="O221" i="1"/>
  <c r="O205" i="1"/>
  <c r="O206" i="1"/>
  <c r="O222" i="1"/>
  <c r="AP208" i="1"/>
  <c r="AP224" i="1"/>
  <c r="R206" i="1"/>
  <c r="R222" i="1"/>
  <c r="AP209" i="1"/>
  <c r="AP225" i="1"/>
  <c r="AJ209" i="1"/>
  <c r="AJ225" i="1"/>
  <c r="CF192" i="1"/>
  <c r="CF208" i="1" s="1"/>
  <c r="K205" i="1"/>
  <c r="C205" i="1"/>
  <c r="AJ206" i="1"/>
  <c r="AJ222" i="1"/>
  <c r="W206" i="1"/>
  <c r="W222" i="1"/>
  <c r="CG189" i="1"/>
  <c r="CG205" i="1" s="1"/>
  <c r="CG191" i="1"/>
  <c r="CG207" i="1" s="1"/>
  <c r="CP191" i="1"/>
  <c r="CP207" i="1" s="1"/>
  <c r="CP189" i="1"/>
  <c r="CP205" i="1" s="1"/>
  <c r="CC41" i="1"/>
  <c r="AJ208" i="1"/>
  <c r="AJ224" i="1"/>
  <c r="K208" i="1"/>
  <c r="CF191" i="1"/>
  <c r="CF207" i="1" s="1"/>
  <c r="CF189" i="1"/>
  <c r="CF205" i="1" s="1"/>
  <c r="K206" i="1"/>
  <c r="CI189" i="1"/>
  <c r="CI205" i="1" s="1"/>
  <c r="CI191" i="1"/>
  <c r="CI207" i="1" s="1"/>
  <c r="CQ189" i="1"/>
  <c r="CQ205" i="1" s="1"/>
  <c r="CQ191" i="1"/>
  <c r="AP206" i="1"/>
  <c r="AP222" i="1"/>
  <c r="R209" i="1"/>
  <c r="R225" i="1"/>
  <c r="BZ41" i="1"/>
  <c r="AP207" i="1"/>
  <c r="AP223" i="1"/>
  <c r="AJ207" i="1"/>
  <c r="AJ223" i="1"/>
  <c r="CF193" i="1"/>
  <c r="CF209" i="1" s="1"/>
  <c r="K207" i="1"/>
  <c r="N193" i="1"/>
  <c r="N209" i="1" s="1"/>
  <c r="AI193" i="1"/>
  <c r="AI209" i="1" s="1"/>
  <c r="G192" i="1"/>
  <c r="G208" i="1" s="1"/>
  <c r="AI192" i="1"/>
  <c r="AI208" i="1" s="1"/>
  <c r="CO193" i="1"/>
  <c r="CO209" i="1" s="1"/>
  <c r="CO192" i="1"/>
  <c r="CO208" i="1" s="1"/>
  <c r="BD192" i="1"/>
  <c r="BD208" i="1" s="1"/>
  <c r="CB192" i="1"/>
  <c r="CB208" i="1" s="1"/>
  <c r="AM192" i="1"/>
  <c r="AM208" i="1" s="1"/>
  <c r="BD193" i="1"/>
  <c r="BD209" i="1" s="1"/>
  <c r="BC192" i="1"/>
  <c r="BC208" i="1" s="1"/>
  <c r="X192" i="1"/>
  <c r="X208" i="1" s="1"/>
  <c r="CR192" i="1"/>
  <c r="CR208" i="1" s="1"/>
  <c r="X191" i="1"/>
  <c r="X207" i="1" s="1"/>
  <c r="BB193" i="1"/>
  <c r="W192" i="1"/>
  <c r="CE207" i="1"/>
  <c r="CR193" i="1"/>
  <c r="CR209" i="1" s="1"/>
  <c r="X193" i="1"/>
  <c r="X209" i="1" s="1"/>
  <c r="AL191" i="1"/>
  <c r="AL207" i="1" s="1"/>
  <c r="G191" i="1"/>
  <c r="G207" i="1" s="1"/>
  <c r="W191" i="1"/>
  <c r="AM191" i="1"/>
  <c r="AM207" i="1" s="1"/>
  <c r="BC191" i="1"/>
  <c r="BC207" i="1" s="1"/>
  <c r="BS191" i="1"/>
  <c r="AD209" i="1"/>
  <c r="CH207" i="1"/>
  <c r="AD207" i="1"/>
  <c r="N192" i="1"/>
  <c r="N208" i="1" s="1"/>
  <c r="O193" i="1"/>
  <c r="AE193" i="1"/>
  <c r="AE209" i="1" s="1"/>
  <c r="AU193" i="1"/>
  <c r="AU209" i="1" s="1"/>
  <c r="BK193" i="1"/>
  <c r="BK209" i="1" s="1"/>
  <c r="CA193" i="1"/>
  <c r="CA209" i="1" s="1"/>
  <c r="V193" i="1"/>
  <c r="V209" i="1" s="1"/>
  <c r="BR193" i="1"/>
  <c r="BR209" i="1" s="1"/>
  <c r="CA192" i="1"/>
  <c r="CA208" i="1" s="1"/>
  <c r="AD208" i="1"/>
  <c r="P208" i="1"/>
  <c r="F193" i="1"/>
  <c r="F209" i="1" s="1"/>
  <c r="AT193" i="1"/>
  <c r="AT209" i="1" s="1"/>
  <c r="O192" i="1"/>
  <c r="AE192" i="1"/>
  <c r="AE208" i="1" s="1"/>
  <c r="AU192" i="1"/>
  <c r="AU208" i="1" s="1"/>
  <c r="BK192" i="1"/>
  <c r="BK208" i="1" s="1"/>
  <c r="N191" i="1"/>
  <c r="N207" i="1" s="1"/>
  <c r="BB192" i="1"/>
  <c r="V192" i="1"/>
  <c r="V208" i="1" s="1"/>
  <c r="BR192" i="1"/>
  <c r="BR208" i="1" s="1"/>
  <c r="AL193" i="1"/>
  <c r="AL209" i="1" s="1"/>
  <c r="O191" i="1"/>
  <c r="AE191" i="1"/>
  <c r="AE207" i="1" s="1"/>
  <c r="AU191" i="1"/>
  <c r="AU207" i="1" s="1"/>
  <c r="BK191" i="1"/>
  <c r="BK207" i="1" s="1"/>
  <c r="CA191" i="1"/>
  <c r="CA207" i="1" s="1"/>
  <c r="BA193" i="1"/>
  <c r="BA209" i="1" s="1"/>
  <c r="CB193" i="1"/>
  <c r="CB209" i="1" s="1"/>
  <c r="F191" i="1"/>
  <c r="F207" i="1" s="1"/>
  <c r="BZ191" i="1"/>
  <c r="BZ207" i="1" s="1"/>
  <c r="CQ207" i="1"/>
  <c r="BZ193" i="1"/>
  <c r="BZ209" i="1" s="1"/>
  <c r="AT191" i="1"/>
  <c r="AT207" i="1" s="1"/>
  <c r="F192" i="1"/>
  <c r="F208" i="1" s="1"/>
  <c r="AT192" i="1"/>
  <c r="AT208" i="1" s="1"/>
  <c r="G193" i="1"/>
  <c r="G209" i="1" s="1"/>
  <c r="W193" i="1"/>
  <c r="AM193" i="1"/>
  <c r="AM209" i="1" s="1"/>
  <c r="BC193" i="1"/>
  <c r="BC209" i="1" s="1"/>
  <c r="BS193" i="1"/>
  <c r="CI193" i="1"/>
  <c r="CI209" i="1" s="1"/>
  <c r="BB191" i="1"/>
  <c r="BZ192" i="1"/>
  <c r="BZ208" i="1" s="1"/>
  <c r="CJ207" i="1"/>
  <c r="AL192" i="1"/>
  <c r="AL208" i="1" s="1"/>
  <c r="BS192" i="1"/>
  <c r="BA192" i="1"/>
  <c r="BA208" i="1" s="1"/>
  <c r="BR191" i="1"/>
  <c r="BR207" i="1" s="1"/>
  <c r="BW41" i="1"/>
  <c r="AR8" i="1"/>
  <c r="AF8" i="1"/>
  <c r="AL8" i="1"/>
  <c r="O8" i="1"/>
  <c r="U8" i="1"/>
  <c r="K8" i="1"/>
  <c r="BX41" i="1"/>
  <c r="AC8" i="1"/>
  <c r="AO8" i="1"/>
  <c r="AI8" i="1"/>
  <c r="AU8" i="1"/>
  <c r="AJ8" i="1"/>
  <c r="AV8" i="1"/>
  <c r="C8" i="1"/>
  <c r="AA8" i="1"/>
  <c r="X8" i="1"/>
  <c r="CD41" i="1"/>
  <c r="AS8" i="1"/>
  <c r="H8" i="1"/>
  <c r="S8" i="1"/>
  <c r="E8" i="1"/>
  <c r="BJ41" i="1"/>
  <c r="BL41" i="1"/>
  <c r="AM8" i="1"/>
  <c r="Z8" i="1"/>
  <c r="BU41" i="1"/>
  <c r="Q8" i="1"/>
  <c r="BR41" i="1"/>
  <c r="W8" i="1"/>
  <c r="G8" i="1"/>
  <c r="AW8" i="1"/>
  <c r="BN41" i="1"/>
  <c r="AP8" i="1"/>
  <c r="AD8" i="1"/>
  <c r="J8" i="1"/>
  <c r="AG8" i="1"/>
  <c r="M8" i="1"/>
  <c r="C223" i="1" l="1"/>
  <c r="C239" i="1"/>
  <c r="R207" i="1"/>
  <c r="R208" i="1"/>
  <c r="C192" i="1"/>
  <c r="C224" i="1" s="1"/>
  <c r="BS209" i="1"/>
  <c r="BS225" i="1"/>
  <c r="BS207" i="1"/>
  <c r="BS223" i="1"/>
  <c r="BS208" i="1"/>
  <c r="BS224" i="1"/>
  <c r="BJ207" i="1"/>
  <c r="BJ223" i="1"/>
  <c r="BB239" i="1"/>
  <c r="BB255" i="1"/>
  <c r="BB240" i="1"/>
  <c r="BB256" i="1"/>
  <c r="BJ209" i="1"/>
  <c r="BJ225" i="1"/>
  <c r="BJ208" i="1"/>
  <c r="BJ224" i="1"/>
  <c r="BB241" i="1"/>
  <c r="BB257" i="1"/>
  <c r="C241" i="1"/>
  <c r="C257" i="1"/>
  <c r="C209" i="1"/>
  <c r="C225" i="1"/>
  <c r="BB208" i="1"/>
  <c r="BB224" i="1"/>
  <c r="BB209" i="1"/>
  <c r="BB225" i="1"/>
  <c r="O241" i="1"/>
  <c r="O257" i="1"/>
  <c r="O255" i="1"/>
  <c r="O239" i="1"/>
  <c r="O256" i="1"/>
  <c r="O240" i="1"/>
  <c r="C208" i="1"/>
  <c r="BB207" i="1"/>
  <c r="BB223" i="1"/>
  <c r="T207" i="1"/>
  <c r="T239" i="1"/>
  <c r="T255" i="1"/>
  <c r="W208" i="1"/>
  <c r="W224" i="1"/>
  <c r="O209" i="1"/>
  <c r="O225" i="1"/>
  <c r="W207" i="1"/>
  <c r="W223" i="1"/>
  <c r="O207" i="1"/>
  <c r="O223" i="1"/>
  <c r="W209" i="1"/>
  <c r="W225" i="1"/>
  <c r="O208" i="1"/>
  <c r="O224" i="1"/>
  <c r="CI192" i="1"/>
  <c r="CI208" i="1" s="1"/>
  <c r="CH193" i="1"/>
  <c r="CH209" i="1" s="1"/>
  <c r="CE193" i="1"/>
  <c r="CE209" i="1" s="1"/>
  <c r="CE192" i="1"/>
  <c r="CE208" i="1" s="1"/>
  <c r="CH192" i="1"/>
  <c r="CH208" i="1" s="1"/>
  <c r="CP193" i="1"/>
  <c r="CP209" i="1" s="1"/>
  <c r="CQ192" i="1"/>
  <c r="CQ208" i="1" s="1"/>
  <c r="CJ193" i="1"/>
  <c r="CJ192" i="1"/>
  <c r="CQ193" i="1"/>
  <c r="CQ209" i="1" s="1"/>
  <c r="CP192" i="1"/>
  <c r="CP208" i="1" s="1"/>
  <c r="C256" i="1" l="1"/>
  <c r="C240" i="1"/>
  <c r="CJ208" i="1"/>
  <c r="CJ224" i="1"/>
  <c r="CJ209" i="1"/>
  <c r="CJ22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tc={402CBA91-D76F-4C39-9C96-15DF5C952E65}</author>
    <author>tc={15802AF4-C994-4348-9DE5-F7CD9A6F2C38}</author>
    <author>tc={7A9F26AF-ACDC-41A7-AC3D-689A0E9AD340}</author>
    <author>tc={8C45E43D-749D-4234-8721-1D28016A511B}</author>
    <author>tc={EA5330B2-DDC6-4178-B96C-75CC667C7F1D}</author>
    <author>tc={8549FE7D-A702-44AD-9A5D-44BF1464C222}</author>
    <author>tc={4024FB6D-56A7-4D14-A061-EED377B4E5D3}</author>
    <author>tc={6D3B2930-37EB-4152-8EEF-47DA984BC781}</author>
    <author>tc={C4B02146-4175-43C5-9D52-C3591C10ABA9}</author>
    <author>tc={7E5F7ACF-6DD2-42B4-82A4-0D2DBAE8D72A}</author>
    <author>tc={E1AA2068-F200-4E5D-ACC2-497DC1F1EAF9}</author>
    <author>tc={265A0174-97E0-44CA-B075-14DAC61991D2}</author>
    <author>tc={41B73C95-C5F2-489E-8D66-B365640600E4}</author>
    <author>tc={71CFB4B3-F9FA-474E-B42E-4F7C2510C5A7}</author>
    <author>tc={D86531A4-51C3-4781-81A3-C71E01AB3438}</author>
    <author>tc={06C37742-83FB-40DB-BFBB-D7FD7146031D}</author>
    <author>tc={55BDF109-5E3B-46F7-8403-373ED2B914DE}</author>
    <author>tc={72A7E9F6-DFE6-46EF-9AC9-21379FDCE181}</author>
    <author>tc={C0BED93C-DF66-4EBC-88F6-B1AA5779BB85}</author>
    <author>tc={25E9A856-18E1-4848-90B3-29C8D27D96BB}</author>
    <author>tc={B0AACFD3-F3A5-4954-B463-DBD849BC256E}</author>
    <author>tc={540366B0-A626-442A-8935-8E08F15A24E2}</author>
    <author>tc={1992E303-B580-43DE-87A3-1A417C15D2B5}</author>
    <author>tc={5328327D-7BE9-42B9-A364-DA3C6462184A}</author>
    <author>tc={79F96704-20F1-4C01-96DE-08D13C614868}</author>
    <author>tc={7EB76EA4-7C17-4965-8A6F-069E0800CE90}</author>
    <author>tc={06490EEA-D71C-4DCD-AC29-E1C9234235BB}</author>
    <author>tc={71ECBCFF-0986-48D7-A673-F91F2A7AC057}</author>
    <author>tc={2D0D3D18-C4C8-4B45-A9CB-1A97292CAA73}</author>
    <author>tc={E6F694DB-A382-4EDC-B195-25D230A9D140}</author>
    <author>tc={85B0E681-978C-4A8E-9556-C88A23549975}</author>
    <author>tc={CA15ABCF-44C9-4E68-A682-19207ADBE3E4}</author>
    <author>tc={BA6C8F27-C78F-432A-A435-E0A03461FB8D}</author>
    <author>tc={31AB4134-51EA-4A08-87C1-7D8EDE0A892F}</author>
    <author>tc={3530436A-6D03-4D3C-B639-2CCF7E256363}</author>
    <author>tc={05DD04BE-60E5-4997-AF39-1786ED6CDAA7}</author>
    <author>tc={C66D7097-041A-4BFB-AB9E-4B0137E61E53}</author>
    <author>tc={C51D769D-7337-475D-89CE-1755C691E14B}</author>
    <author>tc={F4EA9B73-37A8-46A9-A158-EF163DD15010}</author>
    <author>tc={001E6874-318A-4276-A38F-5C368D1B41CE}</author>
    <author>tc={36834EC5-5319-4CCB-AF47-4B8D11C94800}</author>
    <author>tc={DF6C2BAF-46D1-4939-B76C-F5D3B3EBBD11}</author>
    <author>tc={F7D84181-6A6C-4F8D-A748-0981611A5970}</author>
    <author>tc={3E407BA4-53A8-4D83-AC89-BA6CEA685A11}</author>
    <author>tc={8622A986-1D98-4EC5-BA6C-C126DEBAFEC9}</author>
    <author>tc={E89F52D1-7C17-4DB1-BD9F-592A3B8F276D}</author>
    <author>tc={8C98BAE9-918F-4038-A458-FDF3C370C4D5}</author>
    <author>tc={088B71F2-AD57-4C99-85A1-11D0EAD64975}</author>
    <author>tc={1323DF73-6EF7-4A35-9204-F26280996FFD}</author>
    <author>tc={138C27E3-26E9-4255-A3EC-829E4B8B07B3}</author>
    <author>tc={E7F5944B-D1BD-495F-ABE8-2BFEB595B313}</author>
    <author>tc={935878BC-5280-43A9-9FE9-5A4079443E4D}</author>
    <author>tc={FD1EF5D8-CC1B-4A84-B2B7-C9A07B54B234}</author>
    <author>tc={35DFCFB5-0041-42C5-A42D-7D29F7FCDD08}</author>
    <author>tc={7EF1896E-23D8-412F-9F35-14E39BB41C3B}</author>
    <author>tc={FA6E0449-ADBC-419B-8C9C-C8FAF935C580}</author>
    <author>tc={015F4D21-3DB3-407A-AC99-D4B74D4FC136}</author>
    <author>tc={A430E1FA-AA49-4776-85B5-EB9507A1447D}</author>
    <author>tc={FE4776D8-D44F-4A01-803C-E4C9D5696376}</author>
    <author>tc={13E16ABD-3C16-4A51-AF4D-4572749F8AF1}</author>
    <author>tc={7E6FED3E-713B-4B84-A65A-95B5C91620C5}</author>
    <author>tc={A6F63B31-FF2C-45B0-A7C8-58D5BD986439}</author>
    <author>tc={D627817F-55EF-4484-8F5A-5D6B04E1E226}</author>
    <author>tc={23435C3C-72B7-4B44-9845-A1854E890395}</author>
    <author>tc={A6EE5E02-E0FB-4CA6-B6B2-100BD30762DB}</author>
    <author>tc={0B124E9A-7E5A-406E-AFF8-924881F283A6}</author>
    <author>tc={0915DEEC-DE07-43F5-9835-5C4E9193C2F4}</author>
    <author>tc={6C3AFD0F-1FD9-45EA-B873-5F0377CBA982}</author>
    <author>tc={8A11A7B1-C5FA-411E-BC27-7B1AB997ABA4}</author>
    <author>tc={81E206C4-47EA-4601-B349-008052D7E818}</author>
    <author>tc={A8B3B953-BD6A-4282-A128-B08D126D021D}</author>
    <author>tc={9FBDD1BE-4A43-4609-BB82-79A3D80ACB48}</author>
    <author>tc={AB6C2F02-2684-4915-A61F-5A7F5CAEB3CB}</author>
    <author>tc={93C1BA76-27DB-4B09-BAA9-FE2CD22404FB}</author>
    <author>tc={1DE4A813-FC03-4DC8-9B15-549C911F81CA}</author>
    <author>tc={703CC11A-027E-447F-92B8-C29EBDA54FD3}</author>
    <author>tc={BE6D35EE-73F0-46F6-B100-4C68B4698945}</author>
    <author>tc={D5940F7F-7925-4F2D-BDF5-AE21D8692C2C}</author>
    <author>tc={E17D4823-E441-46A2-88F1-C26E703653FC}</author>
    <author>tc={564FF4B5-1295-48D4-8898-48F2A76FA581}</author>
    <author>tc={A3F7C5DD-7255-4953-8317-A0FF665D93E4}</author>
    <author>tc={3EDD21E9-B6B8-4169-8719-DE17C775D869}</author>
    <author>tc={A35941C0-341C-4082-A4C5-147203A01625}</author>
    <author>tc={2E664865-6DAA-4018-8F60-2BDA527A9BB8}</author>
    <author>tc={7253B2DA-FFCC-4ED5-9CEC-600131052F55}</author>
    <author>tc={7F92A0F5-8199-4DC2-87F7-BC375EDCD5BF}</author>
    <author>tc={636720C0-9C94-4835-B9A6-32AB02A3BE64}</author>
    <author>tc={AEDE1989-D503-4A71-980D-156C221B4A77}</author>
    <author>tc={AC0AD82B-353C-40D9-BB62-39BFAC7138F1}</author>
    <author>tc={3D85272E-F8EC-405B-AD2E-FAB5E18EF68F}</author>
    <author>tc={0E573290-4D98-40AB-9632-9A2D28C791BC}</author>
    <author>tc={FCDC7DD5-E29E-4F90-A39B-B504C99AC8FC}</author>
    <author>tc={701E8E11-8E73-44EB-87A7-A29A0DAC82DA}</author>
    <author>tc={8B36432C-C14D-4E9C-8731-BBB402CA8372}</author>
    <author>tc={B002BB81-9D81-4D51-A6DE-7B3F88268CAF}</author>
    <author>tc={90B81911-0CEA-4EA1-83BC-EA7E322B181D}</author>
    <author>tc={C1D611E9-428A-4A40-933B-FC53F9902C9F}</author>
    <author>tc={949A1841-1033-426C-8B83-28599F0D8F90}</author>
  </authors>
  <commentList>
    <comment ref="AY11" authorId="0" shapeId="0" xr:uid="{402CBA91-D76F-4C39-9C96-15DF5C952E65}">
      <text>
        <t>[Threaded comment]
Your version of Excel allows you to read this threaded comment; however, any edits to it will get removed if the file is opened in a newer version of Excel. Learn more: https://go.microsoft.com/fwlink/?linkid=870924
Comment:
    Logic: if AO37-AP37 = sum of change in AO37 &amp; AP37 -&gt; correct</t>
      </text>
    </comment>
    <comment ref="BJ11" authorId="1" shapeId="0" xr:uid="{15802AF4-C994-4348-9DE5-F7CD9A6F2C38}">
      <text>
        <t>[Threaded comment]
Your version of Excel allows you to read this threaded comment; however, any edits to it will get removed if the file is opened in a newer version of Excel. Learn more: https://go.microsoft.com/fwlink/?linkid=870924
Comment:
    Logic: if (AW19-AX19) + (AW36-AX36) = 0 -&gt; correct (AW41)</t>
      </text>
    </comment>
    <comment ref="CF11" authorId="2" shapeId="0" xr:uid="{7A9F26AF-ACDC-41A7-AC3D-689A0E9AD340}">
      <text>
        <t>[Threaded comment]
Your version of Excel allows you to read this threaded comment; however, any edits to it will get removed if the file is opened in a newer version of Excel. Learn more: https://go.microsoft.com/fwlink/?linkid=870924
Comment:
    Logic: if BO19-BP19 = BO19 changed $ + BP19 changed $ -&gt; correct (changed amount are only between cash &amp; cash private assets)</t>
      </text>
    </comment>
    <comment ref="AU19" authorId="3" shapeId="0" xr:uid="{8C45E43D-749D-4234-8721-1D28016A511B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+20m, T.D.30d -20m</t>
      </text>
    </comment>
    <comment ref="AV19" authorId="4" shapeId="0" xr:uid="{EA5330B2-DDC6-4178-B96C-75CC667C7F1D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-20m, T.D.30d +20m</t>
      </text>
    </comment>
    <comment ref="AW19" authorId="5" shapeId="0" xr:uid="{8549FE7D-A702-44AD-9A5D-44BF1464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+15m, T.D.90d -15m</t>
      </text>
    </comment>
    <comment ref="AX19" authorId="6" shapeId="0" xr:uid="{4024FB6D-56A7-4D14-A061-EED377B4E5D3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-15m, T.D.90d +15m</t>
      </text>
    </comment>
    <comment ref="BJ19" authorId="7" shapeId="0" xr:uid="{6D3B2930-37EB-4152-8EEF-47DA984BC781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-15m, A.ARS +15m (sub, unhedged)</t>
      </text>
    </comment>
    <comment ref="BK19" authorId="8" shapeId="0" xr:uid="{C4B02146-4175-43C5-9D52-C3591C10ABA9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+15m, A.ARS -15m (red, unhedged)</t>
      </text>
    </comment>
    <comment ref="BL19" authorId="9" shapeId="0" xr:uid="{7E5F7ACF-6DD2-42B4-82A4-0D2DBAE8D72A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-15m, A.ARS +15m, DN Currencies +15m (sub, hedged)</t>
      </text>
    </comment>
    <comment ref="BM19" authorId="10" shapeId="0" xr:uid="{E1AA2068-F200-4E5D-ACC2-497DC1F1EAF9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+15m, A.ARS -15m, DN Currencies -15m (red, hedged)</t>
      </text>
    </comment>
    <comment ref="BN19" authorId="11" shapeId="0" xr:uid="{265A0174-97E0-44CA-B075-14DAC61991D2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-40m, A.EQ +40m (sub)</t>
      </text>
    </comment>
    <comment ref="BO19" authorId="12" shapeId="0" xr:uid="{41B73C95-C5F2-489E-8D66-B365640600E4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+40m, A.EQ -40m (red, unhedged)</t>
      </text>
    </comment>
    <comment ref="BP19" authorId="13" shapeId="0" xr:uid="{71CFB4B3-F9FA-474E-B42E-4F7C2510C5A7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-15m, A.FIN +15m (sub, unhedged)</t>
      </text>
    </comment>
    <comment ref="BQ19" authorId="14" shapeId="0" xr:uid="{D86531A4-51C3-4781-81A3-C71E01AB3438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+30m, A.FIN -30m (red, unhedged)</t>
      </text>
    </comment>
    <comment ref="BR19" authorId="15" shapeId="0" xr:uid="{06C37742-83FB-40DB-BFBB-D7FD7146031D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-15m, A.FIN +15m, DN Currencies +15m (hedged, sub)</t>
      </text>
    </comment>
    <comment ref="BS19" authorId="16" shapeId="0" xr:uid="{55BDF109-5E3B-46F7-8403-373ED2B914DE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+15m, A.FIN -15m, DN Currencies -15m (hedged, red)</t>
      </text>
    </comment>
    <comment ref="BT19" authorId="17" shapeId="0" xr:uid="{72A7E9F6-DFE6-46EF-9AC9-21379FDCE181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+5m, A.FILD -5m (red, unhedged)</t>
      </text>
    </comment>
    <comment ref="BU19" authorId="18" shapeId="0" xr:uid="{C0BED93C-DF66-4EBC-88F6-B1AA5779BB85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+5m, A.FILD -5m (red, unhedged)</t>
      </text>
    </comment>
    <comment ref="BV19" authorId="19" shapeId="0" xr:uid="{25E9A856-18E1-4848-90B3-29C8D27D96BB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-5m, A.FILD +5m (sub, unhedged)</t>
      </text>
    </comment>
    <comment ref="BW19" authorId="20" shapeId="0" xr:uid="{B0AACFD3-F3A5-4954-B463-DBD849BC256E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+5m, A.FILD -5m, DN Currencies -5m (red, hedged)</t>
      </text>
    </comment>
    <comment ref="BX19" authorId="21" shapeId="0" xr:uid="{540366B0-A626-442A-8935-8E08F15A24E2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+5m, A.FILD -5m, DN Currencies -5m (red, hedged)</t>
      </text>
    </comment>
    <comment ref="BY19" authorId="22" shapeId="0" xr:uid="{1992E303-B580-43DE-87A3-1A417C15D2B5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-5m, A.FILD +5m, DN Currencies +5m (sub, hedged)</t>
      </text>
    </comment>
    <comment ref="BZ19" authorId="23" shapeId="0" xr:uid="{5328327D-7BE9-42B9-A364-DA3C6462184A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+10m, A.IGC -10m (red, unhedged)</t>
      </text>
    </comment>
    <comment ref="CA19" authorId="24" shapeId="0" xr:uid="{79F96704-20F1-4C01-96DE-08D13C614868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+10m, A.IGC -10m (red, unhedged)</t>
      </text>
    </comment>
    <comment ref="CB19" authorId="25" shapeId="0" xr:uid="{7EB76EA4-7C17-4965-8A6F-069E0800CE90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-20m, A.IGC +20m (sub, unhedged)</t>
      </text>
    </comment>
    <comment ref="CC19" authorId="26" shapeId="0" xr:uid="{06490EEA-D71C-4DCD-AC29-E1C9234235BB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+10m, A.IGC -10m, DN Currencies -10m (red, hedged)</t>
      </text>
    </comment>
    <comment ref="CD19" authorId="27" shapeId="0" xr:uid="{71ECBCFF-0986-48D7-A673-F91F2A7AC057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+10m, A.IGC -10m, DN Currencies -10m (red, hedged)</t>
      </text>
    </comment>
    <comment ref="CE19" authorId="28" shapeId="0" xr:uid="{2D0D3D18-C4C8-4B45-A9CB-1A97292CAA73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-10m, A.IGC +10m, DN Currencies +10m (sub, hedged)</t>
      </text>
    </comment>
    <comment ref="CF19" authorId="29" shapeId="0" xr:uid="{E6F694DB-A382-4EDC-B195-25D230A9D140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+30m, P.EQ -30m (red, unhedged)</t>
      </text>
    </comment>
    <comment ref="CG19" authorId="30" shapeId="0" xr:uid="{85B0E681-978C-4A8E-9556-C88A23549975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-30m, P.EQ +30m (sub, unhedged)</t>
      </text>
    </comment>
    <comment ref="CH19" authorId="31" shapeId="0" xr:uid="{CA15ABCF-44C9-4E68-A682-19207ADBE3E4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+5m, P.Debt -5m (red, unhedged)</t>
      </text>
    </comment>
    <comment ref="CI19" authorId="32" shapeId="0" xr:uid="{BA6C8F27-C78F-432A-A435-E0A03461FB8D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-10m, P.Debt +10m (sub, unhedged)</t>
      </text>
    </comment>
    <comment ref="CJ19" authorId="33" shapeId="0" xr:uid="{31AB4134-51EA-4A08-87C1-7D8EDE0A892F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+5m, P.Debt -5m, DN Currency -5m (red, hedged)</t>
      </text>
    </comment>
    <comment ref="CK19" authorId="34" shapeId="0" xr:uid="{3530436A-6D03-4D3C-B639-2CCF7E256363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-5m, P.Debt +5m, DN Currency +5m (sub, hedged)</t>
      </text>
    </comment>
    <comment ref="CL19" authorId="35" shapeId="0" xr:uid="{05DD04BE-60E5-4997-AF39-1786ED6CDAA7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+10m, P.Infra -10m (red, unhedged)</t>
      </text>
    </comment>
    <comment ref="CM19" authorId="36" shapeId="0" xr:uid="{C66D7097-041A-4BFB-AB9E-4B0137E61E5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Cash -20m, P.Infra +20m (sub, unhedged)
</t>
      </text>
    </comment>
    <comment ref="CN19" authorId="37" shapeId="0" xr:uid="{C51D769D-7337-475D-89CE-1755C691E14B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+10m, P.Infra -10m, DN Currencies -10m (red, hedged)</t>
      </text>
    </comment>
    <comment ref="CO19" authorId="38" shapeId="0" xr:uid="{F4EA9B73-37A8-46A9-A158-EF163DD1501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Cash -10m, P.Infra +10m, DN Currencies +10m (sub, hedged)
</t>
      </text>
    </comment>
    <comment ref="CP19" authorId="39" shapeId="0" xr:uid="{001E6874-318A-4276-A38F-5C368D1B41CE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+15m, P.Real Estate -15m (red, unhedged)</t>
      </text>
    </comment>
    <comment ref="CQ19" authorId="40" shapeId="0" xr:uid="{36834EC5-5319-4CCB-AF47-4B8D11C948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Cash -15m, P.Real Estate +15m (sub, unhedged)
</t>
      </text>
    </comment>
    <comment ref="CR19" authorId="41" shapeId="0" xr:uid="{DF6C2BAF-46D1-4939-B76C-F5D3B3EBBD11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+15m, P.Real Estate-15m, DN Currencies -15m (red, hedged)</t>
      </text>
    </comment>
    <comment ref="CS19" authorId="42" shapeId="0" xr:uid="{F7D84181-6A6C-4F8D-A748-0981611A597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Cash -15m, P.Real Estate +15m, DN Currencies +15m (sub, hedged)
</t>
      </text>
    </comment>
    <comment ref="C30" authorId="43" shapeId="0" xr:uid="{3E407BA4-53A8-4D83-AC89-BA6CEA685A11}">
      <text>
        <t>[Threaded comment]
Your version of Excel allows you to read this threaded comment; however, any edits to it will get removed if the file is opened in a newer version of Excel. Learn more: https://go.microsoft.com/fwlink/?linkid=870924
Comment:
    Passive EQ +500m, Active EQ -500m</t>
      </text>
    </comment>
    <comment ref="D30" authorId="44" shapeId="0" xr:uid="{8622A986-1D98-4EC5-BA6C-C126DEBAFEC9}">
      <text>
        <t>[Threaded comment]
Your version of Excel allows you to read this threaded comment; however, any edits to it will get removed if the file is opened in a newer version of Excel. Learn more: https://go.microsoft.com/fwlink/?linkid=870924
Comment:
    Passive EQ -500m, Active EQ +500m</t>
      </text>
    </comment>
    <comment ref="M30" authorId="45" shapeId="0" xr:uid="{E89F52D1-7C17-4DB1-BD9F-592A3B8F276D}">
      <text>
        <t>[Threaded comment]
Your version of Excel allows you to read this threaded comment; however, any edits to it will get removed if the file is opened in a newer version of Excel. Learn more: https://go.microsoft.com/fwlink/?linkid=870924
Comment:
    P.EQ -150m, D.N.EQ +150m, Cash +150m</t>
      </text>
    </comment>
    <comment ref="N30" authorId="46" shapeId="0" xr:uid="{8C98BAE9-918F-4038-A458-FDF3C370C4D5}">
      <text>
        <t>[Threaded comment]
Your version of Excel allows you to read this threaded comment; however, any edits to it will get removed if the file is opened in a newer version of Excel. Learn more: https://go.microsoft.com/fwlink/?linkid=870924
Comment:
    P.EQ +150m, D.N.E.Q -150m, Cash -150m</t>
      </text>
    </comment>
    <comment ref="E31" authorId="47" shapeId="0" xr:uid="{088B71F2-AD57-4C99-85A1-11D0EAD64975}">
      <text>
        <t>[Threaded comment]
Your version of Excel allows you to read this threaded comment; however, any edits to it will get removed if the file is opened in a newer version of Excel. Learn more: https://go.microsoft.com/fwlink/?linkid=870924
Comment:
    P.FIN +50m, A.FIN -50m</t>
      </text>
    </comment>
    <comment ref="F31" authorId="48" shapeId="0" xr:uid="{1323DF73-6EF7-4A35-9204-F26280996FFD}">
      <text>
        <t>[Threaded comment]
Your version of Excel allows you to read this threaded comment; however, any edits to it will get removed if the file is opened in a newer version of Excel. Learn more: https://go.microsoft.com/fwlink/?linkid=870924
Comment:
    P.FIN -50m, A.FIN +50m</t>
      </text>
    </comment>
    <comment ref="O31" authorId="49" shapeId="0" xr:uid="{138C27E3-26E9-4255-A3EC-829E4B8B07B3}">
      <text>
        <t>[Threaded comment]
Your version of Excel allows you to read this threaded comment; however, any edits to it will get removed if the file is opened in a newer version of Excel. Learn more: https://go.microsoft.com/fwlink/?linkid=870924
Comment:
    P.FIN +100m D.N.EQ -100m, Cash -100m</t>
      </text>
    </comment>
    <comment ref="P31" authorId="50" shapeId="0" xr:uid="{E7F5944B-D1BD-495F-ABE8-2BFEB595B313}">
      <text>
        <t>[Threaded comment]
Your version of Excel allows you to read this threaded comment; however, any edits to it will get removed if the file is opened in a newer version of Excel. Learn more: https://go.microsoft.com/fwlink/?linkid=870924
Comment:
    P.FIN -100m, D.N.FIN +100m, Cash +100m</t>
      </text>
    </comment>
    <comment ref="G32" authorId="51" shapeId="0" xr:uid="{935878BC-5280-43A9-9FE9-5A4079443E4D}">
      <text>
        <t>[Threaded comment]
Your version of Excel allows you to read this threaded comment; however, any edits to it will get removed if the file is opened in a newer version of Excel. Learn more: https://go.microsoft.com/fwlink/?linkid=870924
Comment:
    P.FILD -200m, A.FILD +200m</t>
      </text>
    </comment>
    <comment ref="H32" authorId="52" shapeId="0" xr:uid="{FD1EF5D8-CC1B-4A84-B2B7-C9A07B54B234}">
      <text>
        <t>[Threaded comment]
Your version of Excel allows you to read this threaded comment; however, any edits to it will get removed if the file is opened in a newer version of Excel. Learn more: https://go.microsoft.com/fwlink/?linkid=870924
Comment:
    P.FILD -200m, A.FILD +200m</t>
      </text>
    </comment>
    <comment ref="I32" authorId="53" shapeId="0" xr:uid="{35DFCFB5-0041-42C5-A42D-7D29F7FCDD08}">
      <text>
        <t>[Threaded comment]
Your version of Excel allows you to read this threaded comment; however, any edits to it will get removed if the file is opened in a newer version of Excel. Learn more: https://go.microsoft.com/fwlink/?linkid=870924
Comment:
    P.FILD +200m, A.FILD -200m</t>
      </text>
    </comment>
    <comment ref="Q32" authorId="54" shapeId="0" xr:uid="{7EF1896E-23D8-412F-9F35-14E39BB41C3B}">
      <text>
        <t>[Threaded comment]
Your version of Excel allows you to read this threaded comment; however, any edits to it will get removed if the file is opened in a newer version of Excel. Learn more: https://go.microsoft.com/fwlink/?linkid=870924
Comment:
    P.FILD +50m, D.N.FILD -50m, Cash -50m</t>
      </text>
    </comment>
    <comment ref="R32" authorId="55" shapeId="0" xr:uid="{FA6E0449-ADBC-419B-8C9C-C8FAF935C580}">
      <text>
        <t>[Threaded comment]
Your version of Excel allows you to read this threaded comment; however, any edits to it will get removed if the file is opened in a newer version of Excel. Learn more: https://go.microsoft.com/fwlink/?linkid=870924
Comment:
    P.FILD -50m, D.N. FILD +50m, Cash +50m</t>
      </text>
    </comment>
    <comment ref="J33" authorId="56" shapeId="0" xr:uid="{015F4D21-3DB3-407A-AC99-D4B74D4FC136}">
      <text>
        <t>[Threaded comment]
Your version of Excel allows you to read this threaded comment; however, any edits to it will get removed if the file is opened in a newer version of Excel. Learn more: https://go.microsoft.com/fwlink/?linkid=870924
Comment:
    P.CC +20m, A.CC -20m</t>
      </text>
    </comment>
    <comment ref="K33" authorId="57" shapeId="0" xr:uid="{A430E1FA-AA49-4776-85B5-EB9507A1447D}">
      <text>
        <t>[Threaded comment]
Your version of Excel allows you to read this threaded comment; however, any edits to it will get removed if the file is opened in a newer version of Excel. Learn more: https://go.microsoft.com/fwlink/?linkid=870924
Comment:
    P.CC +20m, A.CC -20m</t>
      </text>
    </comment>
    <comment ref="L33" authorId="58" shapeId="0" xr:uid="{FE4776D8-D44F-4A01-803C-E4C9D5696376}">
      <text>
        <t>[Threaded comment]
Your version of Excel allows you to read this threaded comment; however, any edits to it will get removed if the file is opened in a newer version of Excel. Learn more: https://go.microsoft.com/fwlink/?linkid=870924
Comment:
    P.CC -20m, A.CC +20m</t>
      </text>
    </comment>
    <comment ref="S33" authorId="59" shapeId="0" xr:uid="{13E16ABD-3C16-4A51-AF4D-4572749F8AF1}">
      <text>
        <t>[Threaded comment]
Your version of Excel allows you to read this threaded comment; however, any edits to it will get removed if the file is opened in a newer version of Excel. Learn more: https://go.microsoft.com/fwlink/?linkid=870924
Comment:
    P.IGC +10m, D.N. IGC -10m, Cash -10m</t>
      </text>
    </comment>
    <comment ref="T33" authorId="60" shapeId="0" xr:uid="{7E6FED3E-713B-4B84-A65A-95B5C91620C5}">
      <text>
        <t>[Threaded comment]
Your version of Excel allows you to read this threaded comment; however, any edits to it will get removed if the file is opened in a newer version of Excel. Learn more: https://go.microsoft.com/fwlink/?linkid=870924
Comment:
    P.IGC -10m, D.N.IGC +10m, Cash +10m</t>
      </text>
    </comment>
    <comment ref="U36" authorId="61" shapeId="0" xr:uid="{A6F63B31-FF2C-45B0-A7C8-58D5BD986439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+500m, A.EQ -500m</t>
      </text>
    </comment>
    <comment ref="V36" authorId="62" shapeId="0" xr:uid="{D627817F-55EF-4484-8F5A-5D6B04E1E226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-500m, A.EQ +500m</t>
      </text>
    </comment>
    <comment ref="W36" authorId="63" shapeId="0" xr:uid="{23435C3C-72B7-4B44-9845-A1854E890395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+20m, A.IGC -20m</t>
      </text>
    </comment>
    <comment ref="X36" authorId="64" shapeId="0" xr:uid="{A6EE5E02-E0FB-4CA6-B6B2-100BD30762DB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+20m, A.IGC -20m</t>
      </text>
    </comment>
    <comment ref="Y36" authorId="65" shapeId="0" xr:uid="{0B124E9A-7E5A-406E-AFF8-924881F283A6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-20m, A.IGC +20m</t>
      </text>
    </comment>
    <comment ref="Z36" authorId="66" shapeId="0" xr:uid="{0915DEEC-DE07-43F5-9835-5C4E9193C2F4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-20m, A.FIN +20m</t>
      </text>
    </comment>
    <comment ref="AA36" authorId="67" shapeId="0" xr:uid="{6C3AFD0F-1FD9-45EA-B873-5F0377CBA982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-20m, A.FIN +20m</t>
      </text>
    </comment>
    <comment ref="AB36" authorId="68" shapeId="0" xr:uid="{8A11A7B1-C5FA-411E-BC27-7B1AB997ABA4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+20m, A.FIN - 20m</t>
      </text>
    </comment>
    <comment ref="AC36" authorId="69" shapeId="0" xr:uid="{81E206C4-47EA-4601-B349-008052D7E818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+30m, A.FILD -30m</t>
      </text>
    </comment>
    <comment ref="AD36" authorId="70" shapeId="0" xr:uid="{A8B3B953-BD6A-4282-A128-B08D126D021D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+30m, A.FILD -30m</t>
      </text>
    </comment>
    <comment ref="AE36" authorId="71" shapeId="0" xr:uid="{9FBDD1BE-4A43-4609-BB82-79A3D80ACB48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-30m, A.FILD +30m</t>
      </text>
    </comment>
    <comment ref="AL37" authorId="72" shapeId="0" xr:uid="{AB6C2F02-2684-4915-A61F-5A7F5CAEB3C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A.EQ +50m, A.CC -50m
</t>
      </text>
    </comment>
    <comment ref="AM37" authorId="73" shapeId="0" xr:uid="{93C1BA76-27DB-4B09-BAA9-FE2CD22404F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A.EQ +50m, A.CC -50m
</t>
      </text>
    </comment>
    <comment ref="AN37" authorId="74" shapeId="0" xr:uid="{1DE4A813-FC03-4DC8-9B15-549C911F81CA}">
      <text>
        <t>[Threaded comment]
Your version of Excel allows you to read this threaded comment; however, any edits to it will get removed if the file is opened in a newer version of Excel. Learn more: https://go.microsoft.com/fwlink/?linkid=870924
Comment:
    A.EQ -50m, A.CC +50m</t>
      </text>
    </comment>
    <comment ref="AO37" authorId="75" shapeId="0" xr:uid="{703CC11A-027E-447F-92B8-C29EBDA54FD3}">
      <text>
        <t>[Threaded comment]
Your version of Excel allows you to read this threaded comment; however, any edits to it will get removed if the file is opened in a newer version of Excel. Learn more: https://go.microsoft.com/fwlink/?linkid=870924
Comment:
    A.EQ -50m, A.FIN +50m</t>
      </text>
    </comment>
    <comment ref="AP37" authorId="76" shapeId="0" xr:uid="{BE6D35EE-73F0-46F6-B100-4C68B4698945}">
      <text>
        <t>[Threaded comment]
Your version of Excel allows you to read this threaded comment; however, any edits to it will get removed if the file is opened in a newer version of Excel. Learn more: https://go.microsoft.com/fwlink/?linkid=870924
Comment:
    A.EQ -50m, A.FIN +50m</t>
      </text>
    </comment>
    <comment ref="AQ37" authorId="77" shapeId="0" xr:uid="{D5940F7F-7925-4F2D-BDF5-AE21D8692C2C}">
      <text>
        <t>[Threaded comment]
Your version of Excel allows you to read this threaded comment; however, any edits to it will get removed if the file is opened in a newer version of Excel. Learn more: https://go.microsoft.com/fwlink/?linkid=870924
Comment:
    A.EQ +50m, A.FIN -50m</t>
      </text>
    </comment>
    <comment ref="AR37" authorId="78" shapeId="0" xr:uid="{E17D4823-E441-46A2-88F1-C26E703653FC}">
      <text>
        <t>[Threaded comment]
Your version of Excel allows you to read this threaded comment; however, any edits to it will get removed if the file is opened in a newer version of Excel. Learn more: https://go.microsoft.com/fwlink/?linkid=870924
Comment:
    A.EQ +30m, A.FILD -30m</t>
      </text>
    </comment>
    <comment ref="AS37" authorId="79" shapeId="0" xr:uid="{564FF4B5-1295-48D4-8898-48F2A76FA581}">
      <text>
        <t>[Threaded comment]
Your version of Excel allows you to read this threaded comment; however, any edits to it will get removed if the file is opened in a newer version of Excel. Learn more: https://go.microsoft.com/fwlink/?linkid=870924
Comment:
    A.EQ +30m, A.FILD -30m</t>
      </text>
    </comment>
    <comment ref="AT37" authorId="80" shapeId="0" xr:uid="{A3F7C5DD-7255-4953-8317-A0FF665D93E4}">
      <text>
        <t>[Threaded comment]
Your version of Excel allows you to read this threaded comment; however, any edits to it will get removed if the file is opened in a newer version of Excel. Learn more: https://go.microsoft.com/fwlink/?linkid=870924
Comment:
    A.EQ -30m, A.FILD +30m</t>
      </text>
    </comment>
    <comment ref="AY37" authorId="81" shapeId="0" xr:uid="{3EDD21E9-B6B8-4169-8719-DE17C775D869}">
      <text>
        <t>[Threaded comment]
Your version of Excel allows you to read this threaded comment; however, any edits to it will get removed if the file is opened in a newer version of Excel. Learn more: https://go.microsoft.com/fwlink/?linkid=870924
Comment:
    A.EQ +50m, P.EQ -50m</t>
      </text>
    </comment>
    <comment ref="AZ37" authorId="82" shapeId="0" xr:uid="{A35941C0-341C-4082-A4C5-147203A01625}">
      <text>
        <t>[Threaded comment]
Your version of Excel allows you to read this threaded comment; however, any edits to it will get removed if the file is opened in a newer version of Excel. Learn more: https://go.microsoft.com/fwlink/?linkid=870924
Comment:
    A.EQ -50m, P.EQ +50m</t>
      </text>
    </comment>
    <comment ref="AF38" authorId="83" shapeId="0" xr:uid="{2E664865-6DAA-4018-8F60-2BDA527A9BB8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A.FIN +20m, A.CC -20m</t>
      </text>
    </comment>
    <comment ref="AG38" authorId="84" shapeId="0" xr:uid="{7253B2DA-FFCC-4ED5-9CEC-600131052F55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A.FIN +20m, A.CC -20m</t>
      </text>
    </comment>
    <comment ref="AH38" authorId="85" shapeId="0" xr:uid="{7F92A0F5-8199-4DC2-87F7-BC375EDCD5BF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A.FIN -20m, A.CC +20m</t>
      </text>
    </comment>
    <comment ref="AI38" authorId="86" shapeId="0" xr:uid="{636720C0-9C94-4835-B9A6-32AB02A3BE64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A.FIN +50m, A.FILD -50m</t>
      </text>
    </comment>
    <comment ref="AJ38" authorId="87" shapeId="0" xr:uid="{AEDE1989-D503-4A71-980D-156C221B4A77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A.FIN +50m, A.FILD -50m</t>
      </text>
    </comment>
    <comment ref="AK38" authorId="88" shapeId="0" xr:uid="{AC0AD82B-353C-40D9-BB62-39BFAC7138F1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A.FIN -50m, A.FILD +50m</t>
      </text>
    </comment>
    <comment ref="BD38" authorId="89" shapeId="0" xr:uid="{3D85272E-F8EC-405B-AD2E-FAB5E18EF68F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A.FIN +100m, P.Infra -100m</t>
      </text>
    </comment>
    <comment ref="BE38" authorId="90" shapeId="0" xr:uid="{0E573290-4D98-40AB-9632-9A2D28C791BC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A.FIN +100m, P.Infra -100m</t>
      </text>
    </comment>
    <comment ref="BF38" authorId="91" shapeId="0" xr:uid="{FCDC7DD5-E29E-4F90-A39B-B504C99AC8FC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A.FIN -100m, P.Infra +100m</t>
      </text>
    </comment>
    <comment ref="BG39" authorId="92" shapeId="0" xr:uid="{701E8E11-8E73-44EB-87A7-A29A0DAC82DA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A.FILD +10m, P.RE -10m</t>
      </text>
    </comment>
    <comment ref="BH39" authorId="93" shapeId="0" xr:uid="{8B36432C-C14D-4E9C-8731-BBB402CA8372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A.FILD +10m, P.RE -10m</t>
      </text>
    </comment>
    <comment ref="BI39" authorId="94" shapeId="0" xr:uid="{B002BB81-9D81-4D51-A6DE-7B3F88268CAF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A.FILD -10m, P.RE +10m</t>
      </text>
    </comment>
    <comment ref="BA40" authorId="95" shapeId="0" xr:uid="{90B81911-0CEA-4EA1-83BC-EA7E322B181D}">
      <text>
        <t>[Threaded comment]
Your version of Excel allows you to read this threaded comment; however, any edits to it will get removed if the file is opened in a newer version of Excel. Learn more: https://go.microsoft.com/fwlink/?linkid=870924
Comment:
    A.IGC +10m, P.Debt -10m</t>
      </text>
    </comment>
    <comment ref="BB40" authorId="96" shapeId="0" xr:uid="{C1D611E9-428A-4A40-933B-FC53F9902C9F}">
      <text>
        <t>[Threaded comment]
Your version of Excel allows you to read this threaded comment; however, any edits to it will get removed if the file is opened in a newer version of Excel. Learn more: https://go.microsoft.com/fwlink/?linkid=870924
Comment:
    A.IGC +10m, P.Debt -10m</t>
      </text>
    </comment>
    <comment ref="BC40" authorId="97" shapeId="0" xr:uid="{949A1841-1033-426C-8B83-28599F0D8F90}">
      <text>
        <t>[Threaded comment]
Your version of Excel allows you to read this threaded comment; however, any edits to it will get removed if the file is opened in a newer version of Excel. Learn more: https://go.microsoft.com/fwlink/?linkid=870924
Comment:
    A.IGC -10m, P.Debt +10m</t>
      </text>
    </comment>
  </commentList>
</comments>
</file>

<file path=xl/sharedStrings.xml><?xml version="1.0" encoding="utf-8"?>
<sst xmlns="http://schemas.openxmlformats.org/spreadsheetml/2006/main" count="412" uniqueCount="242">
  <si>
    <t>Exposures (CAD) Except for LCR</t>
  </si>
  <si>
    <t>Remark</t>
  </si>
  <si>
    <t>LCR</t>
  </si>
  <si>
    <t>LCR5</t>
  </si>
  <si>
    <t>LCR10</t>
  </si>
  <si>
    <t>LCR30</t>
  </si>
  <si>
    <t>LCR90</t>
  </si>
  <si>
    <t>LCR365</t>
  </si>
  <si>
    <t>HLA + LA + IA Before Shock and Haircut</t>
  </si>
  <si>
    <t>sum of Highly Liquid Asset, Liquid Asset, and Illiquid Asset, before shock and before haircut</t>
  </si>
  <si>
    <t>LA After Shock</t>
  </si>
  <si>
    <t>LA30 After Shock</t>
  </si>
  <si>
    <t>Liquid Asset at calendar day 30, after shock</t>
  </si>
  <si>
    <t>LA90 After Shock</t>
  </si>
  <si>
    <t>Liquid Asset at calendar day 90, after shock</t>
  </si>
  <si>
    <t>LA365 After Shock</t>
  </si>
  <si>
    <t>Liquid Asset at calendar day 365, after shock</t>
  </si>
  <si>
    <t>IA365 After Shock and Haircut</t>
  </si>
  <si>
    <t>Illiquid Asset at calendar day 365, after shock and after haircut</t>
  </si>
  <si>
    <t>HLA</t>
  </si>
  <si>
    <t>sum of Cash to Other Short-Term Money Market Product &lt;= 1D</t>
  </si>
  <si>
    <t>Cash</t>
  </si>
  <si>
    <t>Demand Deposit</t>
  </si>
  <si>
    <t>Redeemable GIC</t>
  </si>
  <si>
    <t>Other Short-Term Money Market Product &lt;= 1D</t>
  </si>
  <si>
    <t>LA Before Shock</t>
  </si>
  <si>
    <t>sum of Repo to Passive Fixed Income Long Duration, before shock (no haircut)</t>
  </si>
  <si>
    <t>Repo</t>
  </si>
  <si>
    <t>Term Deposit &gt; 1D, &lt;= 1M</t>
  </si>
  <si>
    <t>Non Redeemable GIC &gt; 1D, &lt;= 1M</t>
  </si>
  <si>
    <t>Term Deposit &gt; 1M, &lt;= 3M</t>
  </si>
  <si>
    <t>Non Redeemable GIC &gt; 1M, &lt;= 3M</t>
  </si>
  <si>
    <t>Passive Equity</t>
  </si>
  <si>
    <t>Passive Fixed Income Nominal</t>
  </si>
  <si>
    <t>Passive Fixed Income Long Duration</t>
  </si>
  <si>
    <t>IA Before Shock and Haircut</t>
  </si>
  <si>
    <t>sum of Active Absolute Return to Active Corporate Credit, before shock and before haircut</t>
  </si>
  <si>
    <t>Active Absolute Return</t>
  </si>
  <si>
    <t>there are absolute return ETFs so putting "active" down just to be clear</t>
  </si>
  <si>
    <t>Active Equity</t>
  </si>
  <si>
    <t>Active Fixed Income Nominal</t>
  </si>
  <si>
    <t>Active Fixed Income Long Duration</t>
  </si>
  <si>
    <t>Active Corporate Credit</t>
  </si>
  <si>
    <t>this will be zero for now</t>
  </si>
  <si>
    <t>Standing Liquidity Reserve</t>
  </si>
  <si>
    <t>Standing Liquidity Reserve 5D</t>
  </si>
  <si>
    <t>Standing Liquidity Reserve 10D</t>
  </si>
  <si>
    <t>Standing Liquidity Reserve 30D</t>
  </si>
  <si>
    <t>Standing Liquidity Reserve 90D</t>
  </si>
  <si>
    <t>Standing Liquidity Reserve 365D</t>
  </si>
  <si>
    <t>Derivative Notional Before Shock</t>
  </si>
  <si>
    <t>sum of all Derivative Notional</t>
  </si>
  <si>
    <t>Derivative Notional Before Shock: Currency</t>
  </si>
  <si>
    <t>notional is pre-shock</t>
  </si>
  <si>
    <t>Derivative Notional Before Shock: Equity</t>
  </si>
  <si>
    <t>Derivative Notional Before Shock: Fixed Income Nominal</t>
  </si>
  <si>
    <t>Derivative Notional Before Shock: Fixed Income Long Duration</t>
  </si>
  <si>
    <t>Derivative Notional Before Shock: Corporate Credit</t>
  </si>
  <si>
    <t>Net flow Before Buffer</t>
  </si>
  <si>
    <t>Net flow 0BD-5BD</t>
  </si>
  <si>
    <t>Cash Inflow 0BD-5BD - Cash Outflow 0BD-5BD before 20% buffer</t>
  </si>
  <si>
    <t>Net flow 6BD-10BD</t>
  </si>
  <si>
    <t>Cash Inflow 6BD-10BD - Cash Outflow 6BD-10BD before 20% buffer</t>
  </si>
  <si>
    <t>Net flow 11BD-30CD</t>
  </si>
  <si>
    <t>Cash Inflow 11BD-30CD - Cash Outflow 11BD-30CD before 20% buffer</t>
  </si>
  <si>
    <t>Net flow 31CD-90CD</t>
  </si>
  <si>
    <t>Cash Inflow 31CD-90CD - Cash Outflow 31CD-90CD before 20% buffer</t>
  </si>
  <si>
    <t>Net flow 91CD-365CD</t>
  </si>
  <si>
    <t>Cash Inflow 91CD-365CD - Cash Outflow 91CD-365CD before 20% buffer</t>
  </si>
  <si>
    <t>Cash Inflow</t>
  </si>
  <si>
    <t>Cash Inflow 0BD-5BD</t>
  </si>
  <si>
    <t>total cash inflow from business day 0 to and including business day 5</t>
  </si>
  <si>
    <t>Cash Inflow 6BD-10BD</t>
  </si>
  <si>
    <t>total cash inflow from business day 6 to and including business day 10</t>
  </si>
  <si>
    <t>Cash Inflow 11BD-30CD</t>
  </si>
  <si>
    <t>total cash inflow from business day 11 to and including calendar day 30</t>
  </si>
  <si>
    <t>Cash Inflow 31CD-90CD</t>
  </si>
  <si>
    <t>total cash inflow from calendar day 31 to and including calendar day 90</t>
  </si>
  <si>
    <t>Cash Inflow 91CD-365CD</t>
  </si>
  <si>
    <t>total cash inflow from calendar day 90 to and including calendar day 365</t>
  </si>
  <si>
    <t>Cash Outflow Before Buffer</t>
  </si>
  <si>
    <t>Cash Outflow 0BD-5BD</t>
  </si>
  <si>
    <t>total cash outflow from business day 0 to and including business day 5, before 20% buffer</t>
  </si>
  <si>
    <t>Cash Outflow 6BD-10BD</t>
  </si>
  <si>
    <t>total cash outflow from business day 6 to and including business day 10, before 20% buffer</t>
  </si>
  <si>
    <t>Cash Outflow 11BD-30CD</t>
  </si>
  <si>
    <t>total cash outflow from business day 11 to and including calendar day 30, before 20% buffer</t>
  </si>
  <si>
    <t>Cash Outflow 31CD-90CD</t>
  </si>
  <si>
    <t>total cash outflow from calendar day 31 to and including calendar day 90, before 20% buffer</t>
  </si>
  <si>
    <t>Cash Outflow 91CD-365CD</t>
  </si>
  <si>
    <t>total cash outflow from calendar day 90 to and including calendar day 365, before 20% buffer</t>
  </si>
  <si>
    <t>Cash Inflow by Category</t>
  </si>
  <si>
    <t>breakout of cash inflow into the different inflow categories</t>
  </si>
  <si>
    <t>Contributions 0BD-5BD</t>
  </si>
  <si>
    <t>Distributions 0BD-5BD</t>
  </si>
  <si>
    <t>Redemptions 0BD-5BD</t>
  </si>
  <si>
    <t>Incomes 0BD-5BD</t>
  </si>
  <si>
    <t>Cash Placements: Incoming 0BD-5BD</t>
  </si>
  <si>
    <t>Repo Cash Flow 0BD-5BD</t>
  </si>
  <si>
    <t>FX MTM 0BD-5BD</t>
  </si>
  <si>
    <t>TRS MTM 0BD-5BD</t>
  </si>
  <si>
    <t>Contributions 6BD-10BD</t>
  </si>
  <si>
    <t>Distributions 6BD-10BD</t>
  </si>
  <si>
    <t>Redemptions 6BD-10BD</t>
  </si>
  <si>
    <t>Incomes 6BD-10BD</t>
  </si>
  <si>
    <t>Cash Placements: Incoming 6BD-10BD</t>
  </si>
  <si>
    <t>Repo Cash Flow 6BD-10BD</t>
  </si>
  <si>
    <t>FX MTM 6BD-10BD</t>
  </si>
  <si>
    <t xml:space="preserve"> </t>
  </si>
  <si>
    <t>TRS MTM 6BD-10BD</t>
  </si>
  <si>
    <t>Contributions 11BD-30CD</t>
  </si>
  <si>
    <t>Distributions 11BD-30CD</t>
  </si>
  <si>
    <t>Redemptions 11BD-30CD</t>
  </si>
  <si>
    <t>Incomes 11BD-30CD</t>
  </si>
  <si>
    <t>Cash Placements: Incoming 11BD-30CD</t>
  </si>
  <si>
    <t>Repo Cash Flow 11BD-30CD</t>
  </si>
  <si>
    <t>FX MTM 11BD-30CD</t>
  </si>
  <si>
    <t>TRS MTM 11BD-30CD</t>
  </si>
  <si>
    <t>Contributions 31CD-90CD</t>
  </si>
  <si>
    <t>Distributions 31CD-90CD</t>
  </si>
  <si>
    <t>Redemptions 31CD-90CD</t>
  </si>
  <si>
    <t>Incomes 31CD-90CD</t>
  </si>
  <si>
    <t>Cash Placements: Incoming 31CD-90CD</t>
  </si>
  <si>
    <t>Repo Cash Flow 31CD-90CD</t>
  </si>
  <si>
    <t>FX MTM 31CD-90CD</t>
  </si>
  <si>
    <t>TRS MTM 31CD-90CD</t>
  </si>
  <si>
    <t>Contributions 91CD-365CD</t>
  </si>
  <si>
    <t>Distributions 91CD-365CD</t>
  </si>
  <si>
    <t>Redemptions 91CD-365CD</t>
  </si>
  <si>
    <t>Incomes 91CD-365CD</t>
  </si>
  <si>
    <t>Cash Placements: Incoming 91CD-365CD</t>
  </si>
  <si>
    <t>Repo Cash Flow 91CD-365CD</t>
  </si>
  <si>
    <t>FX MTM 91CD-365CD</t>
  </si>
  <si>
    <t>TRS MTM 91CD-365CD</t>
  </si>
  <si>
    <t>Cash Outflow by Category</t>
  </si>
  <si>
    <t>breakout of cash outflow before the 20% buffer into the different outflow categories</t>
  </si>
  <si>
    <t>Benefit Payments 0BD-5BD</t>
  </si>
  <si>
    <t>Termination Payments 0BD-5BD</t>
  </si>
  <si>
    <t>Manager Subscriptions 0BD-5BD</t>
  </si>
  <si>
    <t>Capital Calls 0BD-5BD</t>
  </si>
  <si>
    <t>Expenses 0BD-5BD</t>
  </si>
  <si>
    <t>Cash Placements: Deployment 0BD-5BD</t>
  </si>
  <si>
    <t>Benefit Payments 6BD-10BD</t>
  </si>
  <si>
    <t>Termination Payments 6BD-10BD</t>
  </si>
  <si>
    <t>Manager Subscriptions 6BD-10BD</t>
  </si>
  <si>
    <t>Capital Calls 6BD-10BD</t>
  </si>
  <si>
    <t>Expenses 6BD-10BD</t>
  </si>
  <si>
    <t>Cash Placements: Deployment 6BD-10BD</t>
  </si>
  <si>
    <t>Benefit Payments 11BD-30CD</t>
  </si>
  <si>
    <t>Termination Payments 11BD-30CD</t>
  </si>
  <si>
    <t>Manager Subscriptions 11BD-30CD</t>
  </si>
  <si>
    <t>Capital Calls 11BD-30CD</t>
  </si>
  <si>
    <t>Expenses 11BD-30CD</t>
  </si>
  <si>
    <t>Cash Placements: Deployment 11BD-30CD</t>
  </si>
  <si>
    <t>Benefit Payments 31CD-90CD</t>
  </si>
  <si>
    <t>Termination Payments 31CD-90CD</t>
  </si>
  <si>
    <t>Manager Subscriptions 31CD-90CD</t>
  </si>
  <si>
    <t>Capital Calls 31CD-90CD</t>
  </si>
  <si>
    <t>Expenses 31CD-90CD</t>
  </si>
  <si>
    <t>Cash Placements: Deployment 31CD-90CD</t>
  </si>
  <si>
    <t>Benefit Payments 91CD-365CD</t>
  </si>
  <si>
    <t>Termination Payments 91CD-365CD</t>
  </si>
  <si>
    <t>Manager Subscriptions 91CD-365CD</t>
  </si>
  <si>
    <t>Capital Calls 91CD-365CD</t>
  </si>
  <si>
    <t>Expenses 91CD-365CD</t>
  </si>
  <si>
    <t>Cash Placements: Deployment 91CD-365CD</t>
  </si>
  <si>
    <t>Passive Corporate Credit</t>
  </si>
  <si>
    <t>-</t>
  </si>
  <si>
    <t>LA30</t>
  </si>
  <si>
    <t>LA90</t>
  </si>
  <si>
    <t>LA365</t>
  </si>
  <si>
    <t>IA365</t>
  </si>
  <si>
    <t>SLR5</t>
  </si>
  <si>
    <t>SLR10</t>
  </si>
  <si>
    <t>SLR30</t>
  </si>
  <si>
    <t>SLR90</t>
  </si>
  <si>
    <t>SLR365</t>
  </si>
  <si>
    <t>CI5</t>
  </si>
  <si>
    <t>CI10</t>
  </si>
  <si>
    <t>CI30</t>
  </si>
  <si>
    <t>CI90</t>
  </si>
  <si>
    <t>CI365</t>
  </si>
  <si>
    <t>Computation</t>
  </si>
  <si>
    <t>CO5</t>
  </si>
  <si>
    <t>CO10</t>
  </si>
  <si>
    <t>CO30</t>
  </si>
  <si>
    <t>CO90</t>
  </si>
  <si>
    <t>CO365</t>
  </si>
  <si>
    <t>Parser LCRs</t>
  </si>
  <si>
    <t>UI Samples</t>
  </si>
  <si>
    <t>Checkers #1</t>
  </si>
  <si>
    <t>Checkers #2</t>
  </si>
  <si>
    <t>Market Shocks</t>
  </si>
  <si>
    <t>Checkers #3</t>
  </si>
  <si>
    <t>Cash Outflow Buffers (20% inputs)</t>
  </si>
  <si>
    <t>Shock each asset class</t>
  </si>
  <si>
    <t>#UI: comment</t>
  </si>
  <si>
    <t>#sub/red: currency hedging vs non-hedging; active, pub vs pvt</t>
  </si>
  <si>
    <t>First</t>
  </si>
  <si>
    <t>EQ (+20%)</t>
  </si>
  <si>
    <t>EQ (-20%)</t>
  </si>
  <si>
    <t>FIN (+30%)</t>
  </si>
  <si>
    <t>FIN (-30%)</t>
  </si>
  <si>
    <t>FILD (+40%)</t>
  </si>
  <si>
    <t>FILD (-40%)</t>
  </si>
  <si>
    <t>Currency (+10%)</t>
  </si>
  <si>
    <t>Currency (-10%)</t>
  </si>
  <si>
    <t>*Man.Calc for M.S.*</t>
  </si>
  <si>
    <t>IGC (+50%)</t>
  </si>
  <si>
    <t>IGC (-50%)</t>
  </si>
  <si>
    <t>ARS (+10%)</t>
  </si>
  <si>
    <t>ARS (-10%)</t>
  </si>
  <si>
    <t>s</t>
  </si>
  <si>
    <t>0% (Man.Calc)</t>
  </si>
  <si>
    <t>0% (UI)</t>
  </si>
  <si>
    <t>q</t>
  </si>
  <si>
    <t>Shock/Haircut Changes Test</t>
  </si>
  <si>
    <t>EQ</t>
  </si>
  <si>
    <t>FIN</t>
  </si>
  <si>
    <t>FILD</t>
  </si>
  <si>
    <t>ARS</t>
  </si>
  <si>
    <t>IGC</t>
  </si>
  <si>
    <t>Currency</t>
  </si>
  <si>
    <t>LCR (UI)</t>
  </si>
  <si>
    <t>LCR (Manual)</t>
  </si>
  <si>
    <t>EQ; Conditions: 10, 20, 8, 30, 25, 6</t>
  </si>
  <si>
    <t>FIN; Conditions: 2, 7, 1, 9, 8, 5</t>
  </si>
  <si>
    <t>FILD; Conditions: 12, 7, 15, 10, 40, 5</t>
  </si>
  <si>
    <t>ARS; Conditions: 11, 25, 7, 40, 10, 10</t>
  </si>
  <si>
    <t>IGC; Conditions: 30, 10, 25, 5, 50, 8</t>
  </si>
  <si>
    <t>Currency; Conditions: 1, 10, 4, 25, 8</t>
  </si>
  <si>
    <t>(All Else Equal)</t>
  </si>
  <si>
    <t>EQ; Conditions: 20, 10, 25, 15, 70, 1</t>
  </si>
  <si>
    <t>FIN; Conditions: 1, 9, 2, 15, 50, 2</t>
  </si>
  <si>
    <t>FILD; Conditions: 1, 20, 3, 40, 5, 10</t>
  </si>
  <si>
    <t>ARS; Conditions: 5, 20, 30, 10, 60, 7</t>
  </si>
  <si>
    <t>IGC; Conditions: 7, 23, 2, 38, 20, 8</t>
  </si>
  <si>
    <t>Currency; Conditions: 1, 9, 5, 40, 11</t>
  </si>
  <si>
    <t>Checkers</t>
  </si>
  <si>
    <t>Cash Outflow Test</t>
  </si>
  <si>
    <t>10, 20, 30, 15, 40</t>
  </si>
  <si>
    <t>UI Outputs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</si>
</sst>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\-mm\-dd"/>
    <numFmt numFmtId="165" formatCode="#,###.##"/>
  </numFmts>
  <fonts count="5" x14ac:knownFonts="1"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66">
    <xf numFmtId="0" fontId="0" fillId="0" borderId="0" xfId="0"/>
    <xf numFmtId="0" fontId="1" fillId="0" borderId="0" xfId="0" applyFont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2" borderId="0" xfId="0" applyFill="1"/>
    <xf numFmtId="165" fontId="0" fillId="2" borderId="0" xfId="0" applyNumberFormat="1" applyFill="1"/>
    <xf numFmtId="165" fontId="0" fillId="3" borderId="0" xfId="0" applyNumberFormat="1" applyFill="1"/>
    <xf numFmtId="165" fontId="0" fillId="4" borderId="0" xfId="0" applyNumberFormat="1" applyFill="1"/>
    <xf numFmtId="165" fontId="0" fillId="5" borderId="0" xfId="0" applyNumberFormat="1" applyFill="1"/>
    <xf numFmtId="165" fontId="0" fillId="6" borderId="0" xfId="0" applyNumberFormat="1" applyFill="1"/>
    <xf numFmtId="0" fontId="1" fillId="7" borderId="0" xfId="0" applyFont="1" applyFill="1"/>
    <xf numFmtId="0" fontId="2" fillId="7" borderId="0" xfId="0" applyFont="1" applyFill="1"/>
    <xf numFmtId="165" fontId="0" fillId="7" borderId="0" xfId="0" applyNumberFormat="1" applyFill="1"/>
    <xf numFmtId="0" fontId="0" fillId="7" borderId="0" xfId="0" applyFill="1"/>
    <xf numFmtId="165" fontId="0" fillId="8" borderId="0" xfId="0" applyNumberFormat="1" applyFill="1"/>
    <xf numFmtId="0" fontId="1" fillId="3" borderId="0" xfId="0" applyFont="1" applyFill="1"/>
    <xf numFmtId="0" fontId="0" fillId="3" borderId="0" xfId="0" applyFill="1"/>
    <xf numFmtId="43" fontId="1" fillId="3" borderId="0" xfId="1" applyFont="1" applyFill="1"/>
    <xf numFmtId="43" fontId="0" fillId="0" borderId="0" xfId="1" applyFont="1"/>
    <xf numFmtId="43" fontId="0" fillId="3" borderId="0" xfId="1" applyFont="1" applyFill="1"/>
    <xf numFmtId="164" fontId="0" fillId="9" borderId="0" xfId="0" applyNumberFormat="1" applyFill="1"/>
    <xf numFmtId="165" fontId="0" fillId="9" borderId="0" xfId="0" applyNumberFormat="1" applyFill="1"/>
    <xf numFmtId="43" fontId="0" fillId="9" borderId="0" xfId="1" applyFont="1" applyFill="1"/>
    <xf numFmtId="0" fontId="0" fillId="9" borderId="0" xfId="0" applyFill="1"/>
    <xf numFmtId="43" fontId="0" fillId="0" borderId="0" xfId="1" applyFont="1" applyFill="1"/>
    <xf numFmtId="165" fontId="3" fillId="9" borderId="0" xfId="0" applyNumberFormat="1" applyFont="1" applyFill="1"/>
    <xf numFmtId="165" fontId="3" fillId="0" borderId="0" xfId="0" applyNumberFormat="1" applyFont="1"/>
    <xf numFmtId="164" fontId="0" fillId="10" borderId="0" xfId="0" applyNumberFormat="1" applyFill="1"/>
    <xf numFmtId="0" fontId="0" fillId="10" borderId="0" xfId="0" applyFill="1"/>
    <xf numFmtId="43" fontId="0" fillId="10" borderId="0" xfId="0" applyNumberFormat="1" applyFill="1"/>
    <xf numFmtId="9" fontId="0" fillId="11" borderId="0" xfId="0" applyNumberFormat="1" applyFill="1"/>
    <xf numFmtId="0" fontId="0" fillId="11" borderId="0" xfId="0" applyFill="1"/>
    <xf numFmtId="164" fontId="0" fillId="12" borderId="0" xfId="0" applyNumberFormat="1" applyFill="1"/>
    <xf numFmtId="165" fontId="0" fillId="12" borderId="0" xfId="0" applyNumberFormat="1" applyFill="1"/>
    <xf numFmtId="43" fontId="0" fillId="12" borderId="0" xfId="1" applyFont="1" applyFill="1"/>
    <xf numFmtId="0" fontId="0" fillId="12" borderId="0" xfId="0" applyFill="1"/>
    <xf numFmtId="164" fontId="0" fillId="13" borderId="0" xfId="0" applyNumberFormat="1" applyFill="1"/>
    <xf numFmtId="165" fontId="0" fillId="13" borderId="0" xfId="0" applyNumberFormat="1" applyFill="1"/>
    <xf numFmtId="43" fontId="0" fillId="13" borderId="0" xfId="1" applyFont="1" applyFill="1"/>
    <xf numFmtId="0" fontId="0" fillId="13" borderId="0" xfId="0" applyFill="1"/>
    <xf numFmtId="164" fontId="0" fillId="14" borderId="0" xfId="0" applyNumberFormat="1" applyFill="1"/>
    <xf numFmtId="165" fontId="0" fillId="14" borderId="0" xfId="0" applyNumberFormat="1" applyFill="1"/>
    <xf numFmtId="43" fontId="0" fillId="14" borderId="0" xfId="1" applyFont="1" applyFill="1"/>
    <xf numFmtId="0" fontId="0" fillId="14" borderId="0" xfId="0" applyFill="1"/>
    <xf numFmtId="0" fontId="0" fillId="0" borderId="2" xfId="0" applyBorder="1"/>
    <xf numFmtId="0" fontId="1" fillId="14" borderId="3" xfId="0" applyFont="1" applyFill="1" applyBorder="1"/>
    <xf numFmtId="0" fontId="0" fillId="0" borderId="3" xfId="0" applyBorder="1"/>
    <xf numFmtId="0" fontId="0" fillId="9" borderId="3" xfId="0" applyFill="1" applyBorder="1"/>
    <xf numFmtId="0" fontId="0" fillId="13" borderId="3" xfId="0" applyFill="1" applyBorder="1"/>
    <xf numFmtId="0" fontId="0" fillId="0" borderId="4" xfId="0" applyBorder="1"/>
    <xf numFmtId="0" fontId="0" fillId="0" borderId="5" xfId="0" applyBorder="1"/>
    <xf numFmtId="0" fontId="1" fillId="14" borderId="0" xfId="0" applyFont="1" applyFill="1"/>
    <xf numFmtId="0" fontId="0" fillId="0" borderId="6" xfId="0" applyBorder="1"/>
    <xf numFmtId="0" fontId="0" fillId="0" borderId="9" xfId="0" applyBorder="1"/>
    <xf numFmtId="0" fontId="1" fillId="12" borderId="2" xfId="0" applyFont="1" applyFill="1" applyBorder="1"/>
    <xf numFmtId="0" fontId="1" fillId="0" borderId="4" xfId="0" applyFont="1" applyBorder="1"/>
    <xf numFmtId="0" fontId="0" fillId="12" borderId="5" xfId="0" applyFill="1" applyBorder="1"/>
    <xf numFmtId="0" fontId="0" fillId="12" borderId="7" xfId="0" applyFill="1" applyBorder="1"/>
    <xf numFmtId="0" fontId="0" fillId="13" borderId="5" xfId="0" applyFill="1" applyBorder="1"/>
    <xf numFmtId="0" fontId="0" fillId="13" borderId="7" xfId="0" applyFill="1" applyBorder="1"/>
    <xf numFmtId="0" fontId="0" fillId="14" borderId="8" xfId="0" applyFill="1" applyBorder="1"/>
    <xf numFmtId="0" fontId="0" fillId="0" borderId="8" xfId="0" applyBorder="1"/>
    <xf numFmtId="0" fontId="0" fillId="9" borderId="8" xfId="0" applyFill="1" applyBorder="1"/>
    <xf numFmtId="0" fontId="0" fillId="13" borderId="8" xfId="0" applyFill="1" applyBorder="1"/>
  </cellXfs>
  <cellStyles count="2">
    <cellStyle name="Comma" xfId="1" builtinId="3"/>
    <cellStyle name="Normal" xfId="0" builtinId="0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remyLeung/Downloads/48408%20-%20UPP%20-%20Equity%20TRS%20-%20Portfolio%20Valuation%20-%20260420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OControl"/>
      <sheetName val="APOLLO_LINKS"/>
      <sheetName val="48408"/>
      <sheetName val="Disclaimer"/>
    </sheetNames>
    <sheetDataSet>
      <sheetData sheetId="0">
        <row r="2">
          <cell r="E2">
            <v>45595</v>
          </cell>
        </row>
        <row r="3">
          <cell r="E3">
            <v>41885</v>
          </cell>
        </row>
      </sheetData>
      <sheetData sheetId="1"/>
      <sheetData sheetId="2"/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ichael Kim" id="{DB424FF7-7B69-4EF0-9E88-59B096D9638F}" userId="S::michael.kim@universitypensionplan.ca::4f7dbd0e-8925-4314-92cc-e04d5155800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Y11" dT="2023-07-26T15:04:40.02" personId="{DB424FF7-7B69-4EF0-9E88-59B096D9638F}" id="{402CBA91-D76F-4C39-9C96-15DF5C952E65}">
    <text>Logic: if AO37-AP37 = sum of change in AO37 &amp; AP37 -&gt; correct</text>
  </threadedComment>
  <threadedComment ref="BJ11" dT="2023-07-26T14:58:35.98" personId="{DB424FF7-7B69-4EF0-9E88-59B096D9638F}" id="{15802AF4-C994-4348-9DE5-F7CD9A6F2C38}">
    <text>Logic: if (AW19-AX19) + (AW36-AX36) = 0 -&gt; correct (AW41)</text>
  </threadedComment>
  <threadedComment ref="CF11" dT="2023-07-26T14:54:26.63" personId="{DB424FF7-7B69-4EF0-9E88-59B096D9638F}" id="{7A9F26AF-ACDC-41A7-AC3D-689A0E9AD340}">
    <text>Logic: if BO19-BP19 = BO19 changed $ + BP19 changed $ -&gt; correct (changed amount are only between cash &amp; cash private assets)</text>
  </threadedComment>
  <threadedComment ref="AU19" dT="2023-07-21T19:03:40.50" personId="{DB424FF7-7B69-4EF0-9E88-59B096D9638F}" id="{8C45E43D-749D-4234-8721-1D28016A511B}">
    <text>Cash +20m, T.D.30d -20m</text>
  </threadedComment>
  <threadedComment ref="AV19" dT="2023-07-21T19:04:18.44" personId="{DB424FF7-7B69-4EF0-9E88-59B096D9638F}" id="{EA5330B2-DDC6-4178-B96C-75CC667C7F1D}">
    <text>Cash -20m, T.D.30d +20m</text>
  </threadedComment>
  <threadedComment ref="AW19" dT="2023-07-21T19:05:11.33" personId="{DB424FF7-7B69-4EF0-9E88-59B096D9638F}" id="{8549FE7D-A702-44AD-9A5D-44BF1464C222}">
    <text>Cash +15m, T.D.90d -15m</text>
  </threadedComment>
  <threadedComment ref="AX19" dT="2023-07-21T19:06:41.23" personId="{DB424FF7-7B69-4EF0-9E88-59B096D9638F}" id="{4024FB6D-56A7-4D14-A061-EED377B4E5D3}">
    <text>Cash -15m, T.D.90d +15m</text>
  </threadedComment>
  <threadedComment ref="BJ19" dT="2023-07-21T19:17:59.75" personId="{DB424FF7-7B69-4EF0-9E88-59B096D9638F}" id="{6D3B2930-37EB-4152-8EEF-47DA984BC781}">
    <text>Cash -15m, A.ARS +15m (sub, unhedged)</text>
  </threadedComment>
  <threadedComment ref="BK19" dT="2023-07-21T19:18:40.22" personId="{DB424FF7-7B69-4EF0-9E88-59B096D9638F}" id="{C4B02146-4175-43C5-9D52-C3591C10ABA9}">
    <text>Cash +15m, A.ARS -15m (red, unhedged)</text>
  </threadedComment>
  <threadedComment ref="BL19" dT="2023-07-21T19:17:59.75" personId="{DB424FF7-7B69-4EF0-9E88-59B096D9638F}" id="{7E5F7ACF-6DD2-42B4-82A4-0D2DBAE8D72A}">
    <text>Cash -15m, A.ARS +15m, DN Currencies +15m (sub, hedged)</text>
  </threadedComment>
  <threadedComment ref="BM19" dT="2023-07-21T19:18:40.22" personId="{DB424FF7-7B69-4EF0-9E88-59B096D9638F}" id="{E1AA2068-F200-4E5D-ACC2-497DC1F1EAF9}">
    <text>Cash +15m, A.ARS -15m, DN Currencies -15m (red, hedged)</text>
  </threadedComment>
  <threadedComment ref="BN19" dT="2023-07-21T19:19:42.29" personId="{DB424FF7-7B69-4EF0-9E88-59B096D9638F}" id="{265A0174-97E0-44CA-B075-14DAC61991D2}">
    <text>Cash -40m, A.EQ +40m (sub)</text>
  </threadedComment>
  <threadedComment ref="BO19" dT="2023-07-21T19:20:23.10" personId="{DB424FF7-7B69-4EF0-9E88-59B096D9638F}" id="{41B73C95-C5F2-489E-8D66-B365640600E4}">
    <text>Cash +40m, A.EQ -40m (red, unhedged)</text>
  </threadedComment>
  <threadedComment ref="BP19" dT="2023-07-21T20:22:55.01" personId="{DB424FF7-7B69-4EF0-9E88-59B096D9638F}" id="{71CFB4B3-F9FA-474E-B42E-4F7C2510C5A7}">
    <text>Cash -15m, A.FIN +15m (sub, unhedged)</text>
  </threadedComment>
  <threadedComment ref="BQ19" dT="2023-07-21T20:23:30.01" personId="{DB424FF7-7B69-4EF0-9E88-59B096D9638F}" id="{D86531A4-51C3-4781-81A3-C71E01AB3438}">
    <text>Cash +30m, A.FIN -30m (red, unhedged)</text>
  </threadedComment>
  <threadedComment ref="BR19" dT="2023-07-21T20:25:19.62" personId="{DB424FF7-7B69-4EF0-9E88-59B096D9638F}" id="{06C37742-83FB-40DB-BFBB-D7FD7146031D}">
    <text>Cash -15m, A.FIN +15m, DN Currencies +15m (hedged, sub)</text>
  </threadedComment>
  <threadedComment ref="BS19" dT="2023-07-21T20:26:26.15" personId="{DB424FF7-7B69-4EF0-9E88-59B096D9638F}" id="{55BDF109-5E3B-46F7-8403-373ED2B914DE}">
    <text>Cash +15m, A.FIN -15m, DN Currencies -15m (hedged, red)</text>
  </threadedComment>
  <threadedComment ref="BT19" dT="2023-07-21T20:27:59.99" personId="{DB424FF7-7B69-4EF0-9E88-59B096D9638F}" id="{72A7E9F6-DFE6-46EF-9AC9-21379FDCE181}">
    <text>Cash +5m, A.FILD -5m (red, unhedged)</text>
  </threadedComment>
  <threadedComment ref="BU19" dT="2023-07-21T20:27:59.99" personId="{DB424FF7-7B69-4EF0-9E88-59B096D9638F}" id="{C0BED93C-DF66-4EBC-88F6-B1AA5779BB85}">
    <text>Cash +5m, A.FILD -5m (red, unhedged)</text>
  </threadedComment>
  <threadedComment ref="BV19" dT="2023-07-21T20:28:28.69" personId="{DB424FF7-7B69-4EF0-9E88-59B096D9638F}" id="{25E9A856-18E1-4848-90B3-29C8D27D96BB}">
    <text>Cash -5m, A.FILD +5m (sub, unhedged)</text>
  </threadedComment>
  <threadedComment ref="BW19" dT="2023-07-21T20:30:12.11" personId="{DB424FF7-7B69-4EF0-9E88-59B096D9638F}" id="{B0AACFD3-F3A5-4954-B463-DBD849BC256E}">
    <text>Cash +5m, A.FILD -5m, DN Currencies -5m (red, hedged)</text>
  </threadedComment>
  <threadedComment ref="BX19" dT="2023-07-21T20:30:12.11" personId="{DB424FF7-7B69-4EF0-9E88-59B096D9638F}" id="{540366B0-A626-442A-8935-8E08F15A24E2}">
    <text>Cash +5m, A.FILD -5m, DN Currencies -5m (red, hedged)</text>
  </threadedComment>
  <threadedComment ref="BY19" dT="2023-07-21T20:30:36.19" personId="{DB424FF7-7B69-4EF0-9E88-59B096D9638F}" id="{1992E303-B580-43DE-87A3-1A417C15D2B5}">
    <text>Cash -5m, A.FILD +5m, DN Currencies +5m (sub, hedged)</text>
  </threadedComment>
  <threadedComment ref="BZ19" dT="2023-07-21T20:31:46.93" personId="{DB424FF7-7B69-4EF0-9E88-59B096D9638F}" id="{5328327D-7BE9-42B9-A364-DA3C6462184A}">
    <text>Cash +10m, A.IGC -10m (red, unhedged)</text>
  </threadedComment>
  <threadedComment ref="CA19" dT="2023-07-21T20:31:46.93" personId="{DB424FF7-7B69-4EF0-9E88-59B096D9638F}" id="{79F96704-20F1-4C01-96DE-08D13C614868}">
    <text>Cash +10m, A.IGC -10m (red, unhedged)</text>
  </threadedComment>
  <threadedComment ref="CB19" dT="2023-07-21T20:32:28.60" personId="{DB424FF7-7B69-4EF0-9E88-59B096D9638F}" id="{7EB76EA4-7C17-4965-8A6F-069E0800CE90}">
    <text>Cash -20m, A.IGC +20m (sub, unhedged)</text>
  </threadedComment>
  <threadedComment ref="CC19" dT="2023-07-21T20:33:32.18" personId="{DB424FF7-7B69-4EF0-9E88-59B096D9638F}" id="{06490EEA-D71C-4DCD-AC29-E1C9234235BB}">
    <text>Cash +10m, A.IGC -10m, DN Currencies -10m (red, hedged)</text>
  </threadedComment>
  <threadedComment ref="CD19" dT="2023-07-21T20:33:32.18" personId="{DB424FF7-7B69-4EF0-9E88-59B096D9638F}" id="{71ECBCFF-0986-48D7-A673-F91F2A7AC057}">
    <text>Cash +10m, A.IGC -10m, DN Currencies -10m (red, hedged)</text>
  </threadedComment>
  <threadedComment ref="CE19" dT="2023-07-21T20:34:26.05" personId="{DB424FF7-7B69-4EF0-9E88-59B096D9638F}" id="{2D0D3D18-C4C8-4B45-A9CB-1A97292CAA73}">
    <text>Cash -10m, A.IGC +10m, DN Currencies +10m (sub, hedged)</text>
  </threadedComment>
  <threadedComment ref="CF19" dT="2023-07-21T19:26:40.11" personId="{DB424FF7-7B69-4EF0-9E88-59B096D9638F}" id="{E6F694DB-A382-4EDC-B195-25D230A9D140}">
    <text>Cash +30m, P.EQ -30m (red, unhedged)</text>
  </threadedComment>
  <threadedComment ref="CG19" dT="2023-07-21T19:26:59.60" personId="{DB424FF7-7B69-4EF0-9E88-59B096D9638F}" id="{85B0E681-978C-4A8E-9556-C88A23549975}">
    <text>Cash -30m, P.EQ +30m (sub, unhedged)</text>
  </threadedComment>
  <threadedComment ref="CH19" dT="2023-07-21T20:36:28.61" personId="{DB424FF7-7B69-4EF0-9E88-59B096D9638F}" id="{CA15ABCF-44C9-4E68-A682-19207ADBE3E4}">
    <text>Cash +5m, P.Debt -5m (red, unhedged)</text>
  </threadedComment>
  <threadedComment ref="CI19" dT="2023-07-21T20:36:44.26" personId="{DB424FF7-7B69-4EF0-9E88-59B096D9638F}" id="{BA6C8F27-C78F-432A-A435-E0A03461FB8D}">
    <text>Cash -10m, P.Debt +10m (sub, unhedged)</text>
  </threadedComment>
  <threadedComment ref="CJ19" dT="2023-07-21T20:37:39.21" personId="{DB424FF7-7B69-4EF0-9E88-59B096D9638F}" id="{31AB4134-51EA-4A08-87C1-7D8EDE0A892F}">
    <text>Cash +5m, P.Debt -5m, DN Currency -5m (red, hedged)</text>
  </threadedComment>
  <threadedComment ref="CK19" dT="2023-07-21T20:37:53.53" personId="{DB424FF7-7B69-4EF0-9E88-59B096D9638F}" id="{3530436A-6D03-4D3C-B639-2CCF7E256363}">
    <text>Cash -5m, P.Debt +5m, DN Currency +5m (sub, hedged)</text>
  </threadedComment>
  <threadedComment ref="CL19" dT="2023-07-21T20:40:16.53" personId="{DB424FF7-7B69-4EF0-9E88-59B096D9638F}" id="{05DD04BE-60E5-4997-AF39-1786ED6CDAA7}">
    <text>Cash +10m, P.Infra -10m (red, unhedged)</text>
  </threadedComment>
  <threadedComment ref="CM19" dT="2023-07-21T20:40:30.76" personId="{DB424FF7-7B69-4EF0-9E88-59B096D9638F}" id="{C66D7097-041A-4BFB-AB9E-4B0137E61E53}">
    <text xml:space="preserve">Cash -20m, P.Infra +20m (sub, unhedged)
</text>
  </threadedComment>
  <threadedComment ref="CN19" dT="2023-07-21T20:40:16.53" personId="{DB424FF7-7B69-4EF0-9E88-59B096D9638F}" id="{C51D769D-7337-475D-89CE-1755C691E14B}">
    <text>Cash +10m, P.Infra -10m, DN Currencies -10m (red, hedged)</text>
  </threadedComment>
  <threadedComment ref="CO19" dT="2023-07-21T20:40:30.76" personId="{DB424FF7-7B69-4EF0-9E88-59B096D9638F}" id="{F4EA9B73-37A8-46A9-A158-EF163DD15010}">
    <text xml:space="preserve">Cash -10m, P.Infra +10m, DN Currencies +10m (sub, hedged)
</text>
  </threadedComment>
  <threadedComment ref="CP19" dT="2023-07-21T20:40:16.53" personId="{DB424FF7-7B69-4EF0-9E88-59B096D9638F}" id="{001E6874-318A-4276-A38F-5C368D1B41CE}">
    <text>Cash +15m, P.Real Estate -15m (red, unhedged)</text>
  </threadedComment>
  <threadedComment ref="CQ19" dT="2023-07-21T20:40:30.76" personId="{DB424FF7-7B69-4EF0-9E88-59B096D9638F}" id="{36834EC5-5319-4CCB-AF47-4B8D11C94800}">
    <text xml:space="preserve">Cash -15m, P.Real Estate +15m (sub, unhedged)
</text>
  </threadedComment>
  <threadedComment ref="CR19" dT="2023-07-21T20:40:16.53" personId="{DB424FF7-7B69-4EF0-9E88-59B096D9638F}" id="{DF6C2BAF-46D1-4939-B76C-F5D3B3EBBD11}">
    <text>Cash +15m, P.Real Estate-15m, DN Currencies -15m (red, hedged)</text>
  </threadedComment>
  <threadedComment ref="CS19" dT="2023-07-21T20:40:30.76" personId="{DB424FF7-7B69-4EF0-9E88-59B096D9638F}" id="{F7D84181-6A6C-4F8D-A748-0981611A5970}">
    <text xml:space="preserve">Cash -15m, P.Real Estate +15m, DN Currencies +15m (sub, hedged)
</text>
  </threadedComment>
  <threadedComment ref="C30" dT="2023-07-21T18:14:22.12" personId="{DB424FF7-7B69-4EF0-9E88-59B096D9638F}" id="{3E407BA4-53A8-4D83-AC89-BA6CEA685A11}">
    <text>Passive EQ +500m, Active EQ -500m</text>
  </threadedComment>
  <threadedComment ref="D30" dT="2023-07-21T18:15:30.06" personId="{DB424FF7-7B69-4EF0-9E88-59B096D9638F}" id="{8622A986-1D98-4EC5-BA6C-C126DEBAFEC9}">
    <text>Passive EQ -500m, Active EQ +500m</text>
  </threadedComment>
  <threadedComment ref="M30" dT="2023-07-24T13:19:48.70" personId="{DB424FF7-7B69-4EF0-9E88-59B096D9638F}" id="{E89F52D1-7C17-4DB1-BD9F-592A3B8F276D}">
    <text>P.EQ -150m, D.N.EQ +150m, Cash +150m</text>
  </threadedComment>
  <threadedComment ref="N30" dT="2023-07-24T13:20:00.64" personId="{DB424FF7-7B69-4EF0-9E88-59B096D9638F}" id="{8C98BAE9-918F-4038-A458-FDF3C370C4D5}">
    <text>P.EQ +150m, D.N.E.Q -150m, Cash -150m</text>
  </threadedComment>
  <threadedComment ref="E31" dT="2023-07-21T18:16:22.00" personId="{DB424FF7-7B69-4EF0-9E88-59B096D9638F}" id="{088B71F2-AD57-4C99-85A1-11D0EAD64975}">
    <text>P.FIN +50m, A.FIN -50m</text>
  </threadedComment>
  <threadedComment ref="F31" dT="2023-07-21T18:17:05.54" personId="{DB424FF7-7B69-4EF0-9E88-59B096D9638F}" id="{1323DF73-6EF7-4A35-9204-F26280996FFD}">
    <text>P.FIN -50m, A.FIN +50m</text>
  </threadedComment>
  <threadedComment ref="O31" dT="2023-07-24T13:19:11.01" personId="{DB424FF7-7B69-4EF0-9E88-59B096D9638F}" id="{138C27E3-26E9-4255-A3EC-829E4B8B07B3}">
    <text>P.FIN +100m D.N.EQ -100m, Cash -100m</text>
  </threadedComment>
  <threadedComment ref="P31" dT="2023-07-24T13:18:57.67" personId="{DB424FF7-7B69-4EF0-9E88-59B096D9638F}" id="{E7F5944B-D1BD-495F-ABE8-2BFEB595B313}">
    <text>P.FIN -100m, D.N.FIN +100m, Cash +100m</text>
  </threadedComment>
  <threadedComment ref="G32" dT="2023-07-21T18:17:53.71" personId="{DB424FF7-7B69-4EF0-9E88-59B096D9638F}" id="{935878BC-5280-43A9-9FE9-5A4079443E4D}">
    <text>P.FILD -200m, A.FILD +200m</text>
  </threadedComment>
  <threadedComment ref="H32" dT="2023-07-21T18:17:53.71" personId="{DB424FF7-7B69-4EF0-9E88-59B096D9638F}" id="{FD1EF5D8-CC1B-4A84-B2B7-C9A07B54B234}">
    <text>P.FILD -200m, A.FILD +200m</text>
  </threadedComment>
  <threadedComment ref="I32" dT="2023-07-21T18:18:43.83" personId="{DB424FF7-7B69-4EF0-9E88-59B096D9638F}" id="{35DFCFB5-0041-42C5-A42D-7D29F7FCDD08}">
    <text>P.FILD +200m, A.FILD -200m</text>
  </threadedComment>
  <threadedComment ref="Q32" dT="2023-07-24T13:18:05.39" personId="{DB424FF7-7B69-4EF0-9E88-59B096D9638F}" id="{7EF1896E-23D8-412F-9F35-14E39BB41C3B}">
    <text>P.FILD +50m, D.N.FILD -50m, Cash -50m</text>
  </threadedComment>
  <threadedComment ref="R32" dT="2023-07-24T13:18:31.61" personId="{DB424FF7-7B69-4EF0-9E88-59B096D9638F}" id="{FA6E0449-ADBC-419B-8C9C-C8FAF935C580}">
    <text>P.FILD -50m, D.N. FILD +50m, Cash +50m</text>
  </threadedComment>
  <threadedComment ref="J33" dT="2023-07-25T22:10:48.98" personId="{DB424FF7-7B69-4EF0-9E88-59B096D9638F}" id="{015F4D21-3DB3-407A-AC99-D4B74D4FC136}">
    <text>P.CC +20m, A.CC -20m</text>
  </threadedComment>
  <threadedComment ref="K33" dT="2023-07-25T22:10:48.98" personId="{DB424FF7-7B69-4EF0-9E88-59B096D9638F}" id="{A430E1FA-AA49-4776-85B5-EB9507A1447D}">
    <text>P.CC +20m, A.CC -20m</text>
  </threadedComment>
  <threadedComment ref="L33" dT="2023-07-25T22:10:59.04" personId="{DB424FF7-7B69-4EF0-9E88-59B096D9638F}" id="{FE4776D8-D44F-4A01-803C-E4C9D5696376}">
    <text>P.CC -20m, A.CC +20m</text>
  </threadedComment>
  <threadedComment ref="S33" dT="2023-07-24T18:11:43.79" personId="{DB424FF7-7B69-4EF0-9E88-59B096D9638F}" id="{13E16ABD-3C16-4A51-AF4D-4572749F8AF1}">
    <text>P.IGC +10m, D.N. IGC -10m, Cash -10m</text>
  </threadedComment>
  <threadedComment ref="T33" dT="2023-07-24T18:11:54.11" personId="{DB424FF7-7B69-4EF0-9E88-59B096D9638F}" id="{7E6FED3E-713B-4B84-A65A-95B5C91620C5}">
    <text>P.IGC -10m, D.N.IGC +10m, Cash +10m</text>
  </threadedComment>
  <threadedComment ref="U36" dT="2023-07-21T18:26:45.94" personId="{DB424FF7-7B69-4EF0-9E88-59B096D9638F}" id="{A6F63B31-FF2C-45B0-A7C8-58D5BD986439}">
    <text>A.ARS +500m, A.EQ -500m</text>
  </threadedComment>
  <threadedComment ref="V36" dT="2023-07-21T18:27:22.88" personId="{DB424FF7-7B69-4EF0-9E88-59B096D9638F}" id="{D627817F-55EF-4484-8F5A-5D6B04E1E226}">
    <text>A.ARS -500m, A.EQ +500m</text>
  </threadedComment>
  <threadedComment ref="W36" dT="2023-07-21T18:35:24.65" personId="{DB424FF7-7B69-4EF0-9E88-59B096D9638F}" id="{23435C3C-72B7-4B44-9845-A1854E890395}">
    <text>A.ARS +20m, A.IGC -20m</text>
  </threadedComment>
  <threadedComment ref="X36" dT="2023-07-21T18:35:24.65" personId="{DB424FF7-7B69-4EF0-9E88-59B096D9638F}" id="{A6EE5E02-E0FB-4CA6-B6B2-100BD30762DB}">
    <text>A.ARS +20m, A.IGC -20m</text>
  </threadedComment>
  <threadedComment ref="Y36" dT="2023-07-21T18:36:16.72" personId="{DB424FF7-7B69-4EF0-9E88-59B096D9638F}" id="{0B124E9A-7E5A-406E-AFF8-924881F283A6}">
    <text>A.ARS -20m, A.IGC +20m</text>
  </threadedComment>
  <threadedComment ref="Z36" dT="2023-07-21T18:36:16.72" personId="{DB424FF7-7B69-4EF0-9E88-59B096D9638F}" id="{0915DEEC-DE07-43F5-9835-5C4E9193C2F4}">
    <text>A.ARS -20m, A.FIN +20m</text>
  </threadedComment>
  <threadedComment ref="AA36" dT="2023-07-21T18:36:16.72" personId="{DB424FF7-7B69-4EF0-9E88-59B096D9638F}" id="{6C3AFD0F-1FD9-45EA-B873-5F0377CBA982}">
    <text>A.ARS -20m, A.FIN +20m</text>
  </threadedComment>
  <threadedComment ref="AB36" dT="2023-07-21T18:36:16.72" personId="{DB424FF7-7B69-4EF0-9E88-59B096D9638F}" id="{8A11A7B1-C5FA-411E-BC27-7B1AB997ABA4}">
    <text>A.ARS +20m, A.FIN - 20m</text>
  </threadedComment>
  <threadedComment ref="AC36" dT="2023-07-21T18:40:12.82" personId="{DB424FF7-7B69-4EF0-9E88-59B096D9638F}" id="{81E206C4-47EA-4601-B349-008052D7E818}">
    <text>A.ARS +30m, A.FILD -30m</text>
  </threadedComment>
  <threadedComment ref="AD36" dT="2023-07-21T18:40:12.82" personId="{DB424FF7-7B69-4EF0-9E88-59B096D9638F}" id="{A8B3B953-BD6A-4282-A128-B08D126D021D}">
    <text>A.ARS +30m, A.FILD -30m</text>
  </threadedComment>
  <threadedComment ref="AE36" dT="2023-07-21T18:40:54.65" personId="{DB424FF7-7B69-4EF0-9E88-59B096D9638F}" id="{9FBDD1BE-4A43-4609-BB82-79A3D80ACB48}">
    <text>A.ARS -30m, A.FILD +30m</text>
  </threadedComment>
  <threadedComment ref="AL37" dT="2023-07-24T19:53:01.79" personId="{DB424FF7-7B69-4EF0-9E88-59B096D9638F}" id="{AB6C2F02-2684-4915-A61F-5A7F5CAEB3CB}">
    <text xml:space="preserve">A.EQ +50m, A.CC -50m
</text>
  </threadedComment>
  <threadedComment ref="AM37" dT="2023-07-24T19:53:01.79" personId="{DB424FF7-7B69-4EF0-9E88-59B096D9638F}" id="{93C1BA76-27DB-4B09-BAA9-FE2CD22404FB}">
    <text xml:space="preserve">A.EQ +50m, A.CC -50m
</text>
  </threadedComment>
  <threadedComment ref="AN37" dT="2023-07-24T19:53:49.07" personId="{DB424FF7-7B69-4EF0-9E88-59B096D9638F}" id="{1DE4A813-FC03-4DC8-9B15-549C911F81CA}">
    <text>A.EQ -50m, A.CC +50m</text>
  </threadedComment>
  <threadedComment ref="AO37" dT="2023-07-24T19:53:49.07" personId="{DB424FF7-7B69-4EF0-9E88-59B096D9638F}" id="{703CC11A-027E-447F-92B8-C29EBDA54FD3}">
    <text>A.EQ -50m, A.FIN +50m</text>
  </threadedComment>
  <threadedComment ref="AP37" dT="2023-07-24T19:53:49.07" personId="{DB424FF7-7B69-4EF0-9E88-59B096D9638F}" id="{BE6D35EE-73F0-46F6-B100-4C68B4698945}">
    <text>A.EQ -50m, A.FIN +50m</text>
  </threadedComment>
  <threadedComment ref="AQ37" dT="2023-07-24T19:53:49.07" personId="{DB424FF7-7B69-4EF0-9E88-59B096D9638F}" id="{D5940F7F-7925-4F2D-BDF5-AE21D8692C2C}">
    <text>A.EQ +50m, A.FIN -50m</text>
  </threadedComment>
  <threadedComment ref="AR37" dT="2023-07-24T19:54:25.00" personId="{DB424FF7-7B69-4EF0-9E88-59B096D9638F}" id="{E17D4823-E441-46A2-88F1-C26E703653FC}">
    <text>A.EQ +30m, A.FILD -30m</text>
  </threadedComment>
  <threadedComment ref="AS37" dT="2023-07-24T19:54:25.00" personId="{DB424FF7-7B69-4EF0-9E88-59B096D9638F}" id="{564FF4B5-1295-48D4-8898-48F2A76FA581}">
    <text>A.EQ +30m, A.FILD -30m</text>
  </threadedComment>
  <threadedComment ref="AT37" dT="2023-07-24T19:54:53.03" personId="{DB424FF7-7B69-4EF0-9E88-59B096D9638F}" id="{A3F7C5DD-7255-4953-8317-A0FF665D93E4}">
    <text>A.EQ -30m, A.FILD +30m</text>
  </threadedComment>
  <threadedComment ref="AY37" dT="2023-07-21T19:08:21.39" personId="{DB424FF7-7B69-4EF0-9E88-59B096D9638F}" id="{3EDD21E9-B6B8-4169-8719-DE17C775D869}">
    <text>A.EQ +50m, P.EQ -50m</text>
  </threadedComment>
  <threadedComment ref="AZ37" dT="2023-07-21T19:10:18.42" personId="{DB424FF7-7B69-4EF0-9E88-59B096D9638F}" id="{A35941C0-341C-4082-A4C5-147203A01625}">
    <text>A.EQ -50m, P.EQ +50m</text>
  </threadedComment>
  <threadedComment ref="AF38" dT="2023-07-26T13:05:51.10" personId="{DB424FF7-7B69-4EF0-9E88-59B096D9638F}" id="{2E664865-6DAA-4018-8F60-2BDA527A9BB8}">
    <text>A.FIN +20m, A.CC -20m</text>
  </threadedComment>
  <threadedComment ref="AG38" dT="2023-07-26T13:05:51.10" personId="{DB424FF7-7B69-4EF0-9E88-59B096D9638F}" id="{7253B2DA-FFCC-4ED5-9CEC-600131052F55}">
    <text>A.FIN +20m, A.CC -20m</text>
  </threadedComment>
  <threadedComment ref="AH38" dT="2023-07-26T13:06:01.05" personId="{DB424FF7-7B69-4EF0-9E88-59B096D9638F}" id="{7F92A0F5-8199-4DC2-87F7-BC375EDCD5BF}">
    <text>A.FIN -20m, A.CC +20m</text>
  </threadedComment>
  <threadedComment ref="AI38" dT="2023-07-21T19:02:07.71" personId="{DB424FF7-7B69-4EF0-9E88-59B096D9638F}" id="{636720C0-9C94-4835-B9A6-32AB02A3BE64}">
    <text>A.FIN +50m, A.FILD -50m</text>
  </threadedComment>
  <threadedComment ref="AJ38" dT="2023-07-21T19:02:07.71" personId="{DB424FF7-7B69-4EF0-9E88-59B096D9638F}" id="{AEDE1989-D503-4A71-980D-156C221B4A77}">
    <text>A.FIN +50m, A.FILD -50m</text>
  </threadedComment>
  <threadedComment ref="AK38" dT="2023-07-21T19:02:46.33" personId="{DB424FF7-7B69-4EF0-9E88-59B096D9638F}" id="{AC0AD82B-353C-40D9-BB62-39BFAC7138F1}">
    <text>A.FIN -50m, A.FILD +50m</text>
  </threadedComment>
  <threadedComment ref="BD38" dT="2023-07-24T19:57:32.63" personId="{DB424FF7-7B69-4EF0-9E88-59B096D9638F}" id="{3D85272E-F8EC-405B-AD2E-FAB5E18EF68F}">
    <text>A.FIN +100m, P.Infra -100m</text>
  </threadedComment>
  <threadedComment ref="BE38" dT="2023-07-24T19:57:32.63" personId="{DB424FF7-7B69-4EF0-9E88-59B096D9638F}" id="{0E573290-4D98-40AB-9632-9A2D28C791BC}">
    <text>A.FIN +100m, P.Infra -100m</text>
  </threadedComment>
  <threadedComment ref="BF38" dT="2023-07-24T19:57:45.06" personId="{DB424FF7-7B69-4EF0-9E88-59B096D9638F}" id="{FCDC7DD5-E29E-4F90-A39B-B504C99AC8FC}">
    <text>A.FIN -100m, P.Infra +100m</text>
  </threadedComment>
  <threadedComment ref="BG39" dT="2023-07-24T19:58:39.14" personId="{DB424FF7-7B69-4EF0-9E88-59B096D9638F}" id="{701E8E11-8E73-44EB-87A7-A29A0DAC82DA}">
    <text>A.FILD +10m, P.RE -10m</text>
  </threadedComment>
  <threadedComment ref="BH39" dT="2023-07-24T19:58:39.14" personId="{DB424FF7-7B69-4EF0-9E88-59B096D9638F}" id="{8B36432C-C14D-4E9C-8731-BBB402CA8372}">
    <text>A.FILD +10m, P.RE -10m</text>
  </threadedComment>
  <threadedComment ref="BI39" dT="2023-07-24T19:58:49.92" personId="{DB424FF7-7B69-4EF0-9E88-59B096D9638F}" id="{B002BB81-9D81-4D51-A6DE-7B3F88268CAF}">
    <text>A.FILD -10m, P.RE +10m</text>
  </threadedComment>
  <threadedComment ref="BA40" dT="2023-07-21T19:11:46.81" personId="{DB424FF7-7B69-4EF0-9E88-59B096D9638F}" id="{90B81911-0CEA-4EA1-83BC-EA7E322B181D}">
    <text>A.IGC +10m, P.Debt -10m</text>
  </threadedComment>
  <threadedComment ref="BB40" dT="2023-07-21T19:11:46.81" personId="{DB424FF7-7B69-4EF0-9E88-59B096D9638F}" id="{C1D611E9-428A-4A40-933B-FC53F9902C9F}">
    <text>A.IGC +10m, P.Debt -10m</text>
  </threadedComment>
  <threadedComment ref="BC40" dT="2023-07-21T19:13:02.62" personId="{DB424FF7-7B69-4EF0-9E88-59B096D9638F}" id="{949A1841-1033-426C-8B83-28599F0D8F90}">
    <text>A.IGC -10m, P.Debt +10m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S348"/>
  <sheetViews>
    <sheetView tabSelected="1" zoomScale="84" zoomScaleNormal="100" workbookViewId="0">
      <pane xSplit="2" ySplit="1" topLeftCell="AC18" activePane="bottomRight" state="frozen"/>
      <selection pane="topRight" activeCell="C1" sqref="C1"/>
      <selection pane="bottomLeft" activeCell="A2" sqref="A2"/>
      <selection pane="bottomRight" activeCell="BF288" sqref="BF288"/>
    </sheetView>
  </sheetViews>
  <sheetFormatPr defaultRowHeight="15" x14ac:dyDescent="0.25"/>
  <cols>
    <col min="1" max="1" width="57.42578125" customWidth="1"/>
    <col min="2" max="2" width="85" hidden="1" customWidth="1"/>
    <col min="3" max="3" width="21.42578125" style="25" customWidth="1"/>
    <col min="4" max="11" width="21.42578125" bestFit="1" customWidth="1"/>
    <col min="12" max="12" width="21.42578125" style="25" bestFit="1" customWidth="1"/>
    <col min="13" max="14" width="21.42578125" bestFit="1" customWidth="1"/>
    <col min="15" max="15" width="21.42578125" style="25" bestFit="1" customWidth="1"/>
    <col min="16" max="19" width="21.42578125" bestFit="1" customWidth="1"/>
    <col min="20" max="20" width="21.42578125" style="25" bestFit="1" customWidth="1"/>
    <col min="21" max="24" width="21.42578125" style="41" bestFit="1" customWidth="1"/>
    <col min="25" max="25" width="21.42578125" style="25" bestFit="1" customWidth="1"/>
    <col min="26" max="29" width="21.42578125" style="41" bestFit="1" customWidth="1"/>
    <col min="30" max="30" width="21.42578125" style="45" bestFit="1" customWidth="1"/>
    <col min="31" max="31" width="16.85546875" hidden="1" customWidth="1"/>
    <col min="32" max="35" width="21.42578125" hidden="1" customWidth="1"/>
    <col min="36" max="36" width="21.42578125" style="25" hidden="1" customWidth="1"/>
    <col min="37" max="40" width="21.42578125" style="41" hidden="1" customWidth="1"/>
    <col min="41" max="41" width="21.42578125" hidden="1" customWidth="1"/>
    <col min="42" max="42" width="21.42578125" style="25" hidden="1" customWidth="1"/>
    <col min="43" max="47" width="21.42578125" hidden="1" customWidth="1"/>
    <col min="48" max="48" width="21.42578125" style="25" hidden="1" customWidth="1"/>
    <col min="49" max="53" width="21.42578125" hidden="1" customWidth="1"/>
    <col min="54" max="54" width="21.42578125" style="25" hidden="1" customWidth="1"/>
    <col min="55" max="57" width="21.42578125" hidden="1" customWidth="1"/>
    <col min="58" max="58" width="21.42578125" style="45" bestFit="1" customWidth="1"/>
    <col min="59" max="60" width="21.42578125" bestFit="1" customWidth="1"/>
    <col min="61" max="61" width="21.42578125" style="25" bestFit="1" customWidth="1"/>
    <col min="62" max="62" width="21.42578125" style="37" bestFit="1" customWidth="1"/>
    <col min="63" max="63" width="21.42578125" bestFit="1" customWidth="1"/>
    <col min="64" max="64" width="21.42578125" style="37" bestFit="1" customWidth="1"/>
    <col min="65" max="68" width="21.42578125" bestFit="1" customWidth="1"/>
    <col min="69" max="69" width="21.42578125" style="37" bestFit="1" customWidth="1"/>
    <col min="70" max="70" width="21.42578125" bestFit="1" customWidth="1"/>
    <col min="71" max="71" width="21.42578125" style="37" bestFit="1" customWidth="1"/>
    <col min="72" max="87" width="21.42578125" bestFit="1" customWidth="1"/>
    <col min="88" max="88" width="21.42578125" style="37" bestFit="1" customWidth="1"/>
    <col min="89" max="89" width="21.42578125" bestFit="1" customWidth="1"/>
    <col min="90" max="90" width="21.42578125" style="37" bestFit="1" customWidth="1"/>
    <col min="91" max="97" width="21.42578125" bestFit="1" customWidth="1"/>
  </cols>
  <sheetData>
    <row r="1" spans="1:97" x14ac:dyDescent="0.25">
      <c r="A1" s="1" t="s">
        <v>0</v>
      </c>
      <c r="B1" s="2" t="s">
        <v>1</v>
      </c>
      <c r="C1" s="22">
        <v>44972</v>
      </c>
      <c r="D1" s="3">
        <v>44973</v>
      </c>
      <c r="E1" s="3">
        <v>44974</v>
      </c>
      <c r="F1" s="3">
        <v>44975</v>
      </c>
      <c r="G1" s="3">
        <v>44976</v>
      </c>
      <c r="H1" s="3">
        <v>44977</v>
      </c>
      <c r="I1" s="3">
        <v>44978</v>
      </c>
      <c r="J1" s="3">
        <v>44979</v>
      </c>
      <c r="K1" s="3">
        <v>44980</v>
      </c>
      <c r="L1" s="22">
        <v>44981</v>
      </c>
      <c r="M1" s="3">
        <v>44982</v>
      </c>
      <c r="N1" s="3">
        <v>44983</v>
      </c>
      <c r="O1" s="22">
        <v>44984</v>
      </c>
      <c r="P1" s="3">
        <v>44985</v>
      </c>
      <c r="Q1" s="3">
        <v>44986</v>
      </c>
      <c r="R1" s="3">
        <v>44987</v>
      </c>
      <c r="S1" s="3">
        <v>44988</v>
      </c>
      <c r="T1" s="22">
        <v>44989</v>
      </c>
      <c r="U1" s="38">
        <v>44990</v>
      </c>
      <c r="V1" s="38">
        <v>44991</v>
      </c>
      <c r="W1" s="38">
        <v>44992</v>
      </c>
      <c r="X1" s="38">
        <v>44993</v>
      </c>
      <c r="Y1" s="22">
        <v>44994</v>
      </c>
      <c r="Z1" s="38">
        <v>44995</v>
      </c>
      <c r="AA1" s="38">
        <v>44996</v>
      </c>
      <c r="AB1" s="38">
        <v>44997</v>
      </c>
      <c r="AC1" s="38">
        <v>44998</v>
      </c>
      <c r="AD1" s="42">
        <v>44999</v>
      </c>
      <c r="AE1" s="3">
        <v>45000</v>
      </c>
      <c r="AF1" s="3">
        <v>45001</v>
      </c>
      <c r="AG1" s="3">
        <v>45002</v>
      </c>
      <c r="AH1" s="3">
        <v>45003</v>
      </c>
      <c r="AI1" s="3">
        <v>45004</v>
      </c>
      <c r="AJ1" s="22">
        <v>45005</v>
      </c>
      <c r="AK1" s="38">
        <v>45006</v>
      </c>
      <c r="AL1" s="38">
        <v>45007</v>
      </c>
      <c r="AM1" s="38">
        <v>45008</v>
      </c>
      <c r="AN1" s="38">
        <v>45009</v>
      </c>
      <c r="AO1" s="3">
        <v>45010</v>
      </c>
      <c r="AP1" s="22">
        <v>45011</v>
      </c>
      <c r="AQ1" s="3">
        <v>45012</v>
      </c>
      <c r="AR1" s="3">
        <v>45013</v>
      </c>
      <c r="AS1" s="3">
        <v>45014</v>
      </c>
      <c r="AT1" s="3">
        <v>45015</v>
      </c>
      <c r="AU1" s="3">
        <v>45016</v>
      </c>
      <c r="AV1" s="22">
        <v>45017</v>
      </c>
      <c r="AW1" s="3">
        <v>45018</v>
      </c>
      <c r="AX1" s="3">
        <v>45019</v>
      </c>
      <c r="AY1" s="3">
        <v>45020</v>
      </c>
      <c r="AZ1" s="3">
        <v>45021</v>
      </c>
      <c r="BA1" s="3">
        <v>45022</v>
      </c>
      <c r="BB1" s="22">
        <v>45023</v>
      </c>
      <c r="BC1" s="3">
        <v>45024</v>
      </c>
      <c r="BD1" s="3">
        <v>45025</v>
      </c>
      <c r="BE1" s="3">
        <v>45026</v>
      </c>
      <c r="BF1" s="42">
        <v>45027</v>
      </c>
      <c r="BG1" s="3">
        <v>45028</v>
      </c>
      <c r="BH1" s="3">
        <v>45029</v>
      </c>
      <c r="BI1" s="22">
        <v>45030</v>
      </c>
      <c r="BJ1" s="34">
        <v>45031</v>
      </c>
      <c r="BK1" s="3">
        <v>45032</v>
      </c>
      <c r="BL1" s="34">
        <v>45033</v>
      </c>
      <c r="BM1" s="3">
        <v>45034</v>
      </c>
      <c r="BN1" s="3">
        <v>45035</v>
      </c>
      <c r="BO1" s="3">
        <v>45036</v>
      </c>
      <c r="BP1" s="3">
        <v>45037</v>
      </c>
      <c r="BQ1" s="34">
        <v>45038</v>
      </c>
      <c r="BR1" s="3">
        <v>45039</v>
      </c>
      <c r="BS1" s="34">
        <v>45040</v>
      </c>
      <c r="BT1" s="3">
        <v>45041</v>
      </c>
      <c r="BU1" s="3">
        <v>45042</v>
      </c>
      <c r="BV1" s="3">
        <v>45043</v>
      </c>
      <c r="BW1" s="3">
        <v>45044</v>
      </c>
      <c r="BX1" s="3">
        <v>45045</v>
      </c>
      <c r="BY1" s="3">
        <v>45046</v>
      </c>
      <c r="BZ1" s="3">
        <v>45047</v>
      </c>
      <c r="CA1" s="3">
        <v>45048</v>
      </c>
      <c r="CB1" s="3">
        <v>45049</v>
      </c>
      <c r="CC1" s="3">
        <v>45050</v>
      </c>
      <c r="CD1" s="3">
        <v>45051</v>
      </c>
      <c r="CE1" s="3">
        <v>45052</v>
      </c>
      <c r="CF1" s="3">
        <v>45053</v>
      </c>
      <c r="CG1" s="3">
        <v>45054</v>
      </c>
      <c r="CH1" s="3">
        <v>45055</v>
      </c>
      <c r="CI1" s="3">
        <v>45056</v>
      </c>
      <c r="CJ1" s="34">
        <v>45057</v>
      </c>
      <c r="CK1" s="3">
        <v>45058</v>
      </c>
      <c r="CL1" s="34">
        <v>45059</v>
      </c>
      <c r="CM1" s="3">
        <v>45060</v>
      </c>
      <c r="CN1" s="3">
        <v>45061</v>
      </c>
      <c r="CO1" s="3">
        <v>45062</v>
      </c>
      <c r="CP1" s="3">
        <v>45063</v>
      </c>
      <c r="CQ1" s="3">
        <v>45064</v>
      </c>
      <c r="CR1" s="3">
        <v>45065</v>
      </c>
      <c r="CS1" s="3">
        <v>45066</v>
      </c>
    </row>
    <row r="2" spans="1:97" x14ac:dyDescent="0.25">
      <c r="A2" s="1" t="s">
        <v>2</v>
      </c>
      <c r="B2" s="2"/>
      <c r="C2" s="23"/>
      <c r="D2" s="4"/>
      <c r="E2" s="4"/>
      <c r="F2" s="4"/>
      <c r="G2" s="4"/>
      <c r="H2" s="4"/>
      <c r="I2" s="4"/>
      <c r="J2" s="4"/>
      <c r="K2" s="4"/>
      <c r="L2" s="23"/>
      <c r="M2" s="4"/>
      <c r="N2" s="4"/>
      <c r="O2" s="23"/>
      <c r="P2" s="4"/>
      <c r="Q2" s="4"/>
      <c r="R2" s="4"/>
      <c r="S2" s="4"/>
      <c r="T2" s="23"/>
      <c r="U2" s="39"/>
      <c r="V2" s="39"/>
      <c r="W2" s="39"/>
      <c r="X2" s="39"/>
      <c r="Y2" s="23"/>
      <c r="Z2" s="39"/>
      <c r="AA2" s="39"/>
      <c r="AB2" s="39"/>
      <c r="AC2" s="39"/>
      <c r="AD2" s="4"/>
      <c r="AE2" s="4"/>
      <c r="AF2" s="4"/>
      <c r="AG2" s="4"/>
      <c r="AH2" s="4"/>
      <c r="AI2" s="4"/>
      <c r="AJ2" s="23"/>
      <c r="AK2" s="39"/>
      <c r="AL2" s="39"/>
      <c r="AM2" s="39"/>
      <c r="AN2" s="39"/>
      <c r="AO2" s="4"/>
      <c r="AP2" s="23"/>
      <c r="AQ2" s="4"/>
      <c r="AR2" s="4"/>
      <c r="AS2" s="4"/>
      <c r="AT2" s="4"/>
      <c r="AU2" s="4"/>
      <c r="AV2" s="23"/>
      <c r="AW2" s="4"/>
      <c r="AX2" s="4"/>
      <c r="AY2" s="4"/>
      <c r="AZ2" s="4"/>
      <c r="BA2" s="4"/>
      <c r="BB2" s="23"/>
      <c r="BC2" s="4"/>
      <c r="BD2" s="4"/>
      <c r="BE2" s="4"/>
      <c r="BF2" s="4"/>
      <c r="BG2" s="4"/>
      <c r="BH2" s="4"/>
      <c r="BI2" s="23"/>
      <c r="BJ2" s="35"/>
      <c r="BK2" s="4"/>
      <c r="BL2" s="35"/>
      <c r="BM2" s="4"/>
      <c r="BN2" s="4"/>
      <c r="BO2" s="4"/>
      <c r="BP2" s="4"/>
      <c r="BQ2" s="35"/>
      <c r="BR2" s="4"/>
      <c r="BS2" s="35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35"/>
      <c r="CK2" s="4"/>
      <c r="CL2" s="35"/>
      <c r="CM2" s="4"/>
      <c r="CN2" s="4"/>
      <c r="CO2" s="4"/>
      <c r="CP2" s="4"/>
      <c r="CQ2" s="4"/>
      <c r="CR2" s="4"/>
      <c r="CS2" s="4"/>
    </row>
    <row r="3" spans="1:97" x14ac:dyDescent="0.25">
      <c r="A3" t="s">
        <v>3</v>
      </c>
      <c r="C3" s="23">
        <v>2.3097841261527163</v>
      </c>
      <c r="D3" s="4">
        <v>2.3097841261527163</v>
      </c>
      <c r="E3" s="4">
        <v>2.3097841261527163</v>
      </c>
      <c r="F3" s="4">
        <v>2.3097841261527163</v>
      </c>
      <c r="G3" s="4">
        <v>2.3097841261527163</v>
      </c>
      <c r="H3" s="4">
        <v>2.3097841261527163</v>
      </c>
      <c r="I3" s="4">
        <v>2.3097841261527163</v>
      </c>
      <c r="J3" s="4">
        <v>2.3097841261527163</v>
      </c>
      <c r="K3" s="4">
        <v>2.3097841261527163</v>
      </c>
      <c r="L3" s="23">
        <v>2.3097841261527163</v>
      </c>
      <c r="M3" s="4">
        <v>2.3097841261527163</v>
      </c>
      <c r="N3" s="4">
        <v>2.3097841261527163</v>
      </c>
      <c r="O3" s="23">
        <v>2.3097841261527163</v>
      </c>
      <c r="P3" s="4">
        <v>2.3097841261527163</v>
      </c>
      <c r="Q3" s="4">
        <v>3.2069401489620506</v>
      </c>
      <c r="R3" s="4">
        <v>3.2069401489620506</v>
      </c>
      <c r="S3" s="4">
        <v>3.2069401489620506</v>
      </c>
      <c r="T3" s="23">
        <v>3.2069401489620506</v>
      </c>
      <c r="U3" s="39">
        <v>3.2069401489620506</v>
      </c>
      <c r="V3" s="39">
        <v>3.2069401489620506</v>
      </c>
      <c r="W3" s="39">
        <v>3.2069401489620506</v>
      </c>
      <c r="X3" s="39">
        <v>3.2069401489620506</v>
      </c>
      <c r="Y3" s="23">
        <v>3.2069401489620506</v>
      </c>
      <c r="Z3" s="39">
        <v>3.2069401489620506</v>
      </c>
      <c r="AA3" s="39">
        <v>3.2069401489620506</v>
      </c>
      <c r="AB3" s="39">
        <v>3.2069401489620506</v>
      </c>
      <c r="AC3" s="39">
        <v>3.2069401489620506</v>
      </c>
      <c r="AD3" s="4">
        <v>3.2069401489620506</v>
      </c>
      <c r="AE3" s="4">
        <v>3.2069401489620506</v>
      </c>
      <c r="AF3" s="4">
        <v>2.9313302253725726</v>
      </c>
      <c r="AG3" s="4">
        <v>2.9313302253725726</v>
      </c>
      <c r="AH3" s="4">
        <v>2.9313302253725726</v>
      </c>
      <c r="AI3" s="4">
        <v>2.9313302253725726</v>
      </c>
      <c r="AJ3" s="23">
        <v>2.9313302253725726</v>
      </c>
      <c r="AK3" s="39">
        <v>2.9313302253725726</v>
      </c>
      <c r="AL3" s="39">
        <v>2.9313302253725726</v>
      </c>
      <c r="AM3" s="39">
        <v>2.9313302253725726</v>
      </c>
      <c r="AN3" s="39">
        <v>2.9313302253725726</v>
      </c>
      <c r="AO3" s="4">
        <v>2.9313302253725726</v>
      </c>
      <c r="AP3" s="23">
        <v>2.9313302253725726</v>
      </c>
      <c r="AQ3" s="4">
        <v>2.9313302253725726</v>
      </c>
      <c r="AR3" s="4">
        <v>2.9313302253725726</v>
      </c>
      <c r="AS3" s="4">
        <v>2.9313302253725726</v>
      </c>
      <c r="AT3" s="4">
        <v>2.9313302253725726</v>
      </c>
      <c r="AU3" s="4">
        <v>2.9313302253725726</v>
      </c>
      <c r="AV3" s="23">
        <v>2.9313302253725726</v>
      </c>
      <c r="AW3" s="4">
        <v>2.9313302253725726</v>
      </c>
      <c r="AX3" s="4">
        <v>2.9313302253725726</v>
      </c>
      <c r="AY3" s="4">
        <v>2.9313302253725726</v>
      </c>
      <c r="AZ3" s="4">
        <v>2.9313302253725726</v>
      </c>
      <c r="BA3" s="4">
        <v>2.9313302253725726</v>
      </c>
      <c r="BB3" s="23">
        <v>2.9313302253725726</v>
      </c>
      <c r="BC3" s="4">
        <v>2.9313302253725726</v>
      </c>
      <c r="BD3" s="4">
        <v>2.9313302253725726</v>
      </c>
      <c r="BE3" s="4">
        <v>2.9313302253725726</v>
      </c>
      <c r="BF3" s="4">
        <v>2.9313302253725726</v>
      </c>
      <c r="BG3" s="4">
        <v>3.2323812398834901</v>
      </c>
      <c r="BH3" s="4">
        <v>3.2323812398834901</v>
      </c>
      <c r="BI3" s="23">
        <v>3.2323812398834901</v>
      </c>
      <c r="BJ3" s="35">
        <v>3.2323812398834901</v>
      </c>
      <c r="BK3" s="4">
        <v>3.2323812398834901</v>
      </c>
      <c r="BL3" s="35">
        <v>3.2323812398834901</v>
      </c>
      <c r="BM3" s="4">
        <v>3.2323812398834901</v>
      </c>
      <c r="BN3" s="4">
        <v>3.2323812398834901</v>
      </c>
      <c r="BO3" s="4">
        <v>3.2323812398834901</v>
      </c>
      <c r="BP3" s="4">
        <v>3.2323812398834901</v>
      </c>
      <c r="BQ3" s="35">
        <v>3.2323812398834901</v>
      </c>
      <c r="BR3" s="4">
        <v>3.2323812398834901</v>
      </c>
      <c r="BS3" s="35">
        <v>3.2323812398834901</v>
      </c>
      <c r="BT3" s="4">
        <v>3.2323812398834901</v>
      </c>
      <c r="BU3" s="4">
        <v>3.2323812398834901</v>
      </c>
      <c r="BV3" s="4">
        <v>3.2323812398834901</v>
      </c>
      <c r="BW3" s="4">
        <v>3.2323812398834901</v>
      </c>
      <c r="BX3" s="4">
        <v>3.2323812398834901</v>
      </c>
      <c r="BY3" s="4">
        <v>3.2323812398834901</v>
      </c>
      <c r="BZ3" s="4">
        <v>3.2323812398834901</v>
      </c>
      <c r="CA3" s="4">
        <v>3.2323812398834901</v>
      </c>
      <c r="CB3" s="4">
        <v>3.2323812398834901</v>
      </c>
      <c r="CC3" s="4">
        <v>3.2323812398834901</v>
      </c>
      <c r="CD3" s="4">
        <v>3.2323812398834901</v>
      </c>
      <c r="CE3" s="4">
        <v>3.2323812398834901</v>
      </c>
      <c r="CF3" s="4">
        <v>3.2323812398834901</v>
      </c>
      <c r="CG3" s="4">
        <v>3.2323812398834901</v>
      </c>
      <c r="CH3" s="4">
        <v>3.2323812398834901</v>
      </c>
      <c r="CI3" s="4">
        <v>3.2323812398834901</v>
      </c>
      <c r="CJ3" s="35">
        <v>3.2323812398834901</v>
      </c>
      <c r="CK3" s="4">
        <v>3.2323812398834901</v>
      </c>
      <c r="CL3" s="35">
        <v>3.2323812398834901</v>
      </c>
      <c r="CM3" s="4">
        <v>3.2323812398834901</v>
      </c>
      <c r="CN3" s="4">
        <v>3.2323812398834901</v>
      </c>
      <c r="CO3" s="4">
        <v>3.2323812398834901</v>
      </c>
      <c r="CP3" s="4">
        <v>3.2323812398834901</v>
      </c>
      <c r="CQ3" s="4">
        <v>3.2323812398834901</v>
      </c>
      <c r="CR3" s="4">
        <v>3.2323812398834901</v>
      </c>
      <c r="CS3" s="4">
        <v>3.2323812398834901</v>
      </c>
    </row>
    <row r="4" spans="1:97" x14ac:dyDescent="0.25">
      <c r="A4" t="s">
        <v>4</v>
      </c>
      <c r="C4" s="23">
        <v>2.1210073934488758</v>
      </c>
      <c r="D4" s="4">
        <v>2.1210073934488758</v>
      </c>
      <c r="E4" s="4">
        <v>2.1210073934488758</v>
      </c>
      <c r="F4" s="4">
        <v>2.1210073934488758</v>
      </c>
      <c r="G4" s="4">
        <v>2.1210073934488758</v>
      </c>
      <c r="H4" s="4">
        <v>2.1210073934488758</v>
      </c>
      <c r="I4" s="4">
        <v>2.1210073934488758</v>
      </c>
      <c r="J4" s="4">
        <v>2.1210073934488758</v>
      </c>
      <c r="K4" s="4">
        <v>2.1210073934488758</v>
      </c>
      <c r="L4" s="23">
        <v>2.1210073934488758</v>
      </c>
      <c r="M4" s="4">
        <v>2.1210073934488758</v>
      </c>
      <c r="N4" s="4">
        <v>2.1210073934488758</v>
      </c>
      <c r="O4" s="23">
        <v>2.1210073934488758</v>
      </c>
      <c r="P4" s="4">
        <v>2.1210073934488758</v>
      </c>
      <c r="Q4" s="4">
        <v>2.6198487851333776</v>
      </c>
      <c r="R4" s="4">
        <v>2.6198487851333776</v>
      </c>
      <c r="S4" s="4">
        <v>2.6198487851333776</v>
      </c>
      <c r="T4" s="23">
        <v>2.6198487851333776</v>
      </c>
      <c r="U4" s="39">
        <v>2.6198487851333776</v>
      </c>
      <c r="V4" s="39">
        <v>2.6198487851333776</v>
      </c>
      <c r="W4" s="39">
        <v>2.6198487851333776</v>
      </c>
      <c r="X4" s="39">
        <v>2.6198487851333776</v>
      </c>
      <c r="Y4" s="23">
        <v>2.6198487851333776</v>
      </c>
      <c r="Z4" s="39">
        <v>2.6198487851333776</v>
      </c>
      <c r="AA4" s="39">
        <v>2.6198487851333776</v>
      </c>
      <c r="AB4" s="39">
        <v>2.6198487851333776</v>
      </c>
      <c r="AC4" s="39">
        <v>2.6198487851333776</v>
      </c>
      <c r="AD4" s="4">
        <v>2.6198487851333776</v>
      </c>
      <c r="AE4" s="4">
        <v>2.6198487851333776</v>
      </c>
      <c r="AF4" s="4">
        <v>2.7976199941083069</v>
      </c>
      <c r="AG4" s="4">
        <v>2.7976199941083069</v>
      </c>
      <c r="AH4" s="4">
        <v>2.7976199941083069</v>
      </c>
      <c r="AI4" s="4">
        <v>2.7976199941083069</v>
      </c>
      <c r="AJ4" s="23">
        <v>2.7976199941083069</v>
      </c>
      <c r="AK4" s="39">
        <v>2.7976199941083069</v>
      </c>
      <c r="AL4" s="39">
        <v>2.7976199941083069</v>
      </c>
      <c r="AM4" s="39">
        <v>2.7976199941083069</v>
      </c>
      <c r="AN4" s="39">
        <v>2.7976199941083069</v>
      </c>
      <c r="AO4" s="4">
        <v>2.7976199941083069</v>
      </c>
      <c r="AP4" s="23">
        <v>2.7976199941083069</v>
      </c>
      <c r="AQ4" s="4">
        <v>2.7976199941083069</v>
      </c>
      <c r="AR4" s="4">
        <v>2.7976199941083069</v>
      </c>
      <c r="AS4" s="4">
        <v>2.7976199941083069</v>
      </c>
      <c r="AT4" s="4">
        <v>2.7976199941083069</v>
      </c>
      <c r="AU4" s="4">
        <v>2.7976199941083069</v>
      </c>
      <c r="AV4" s="23">
        <v>2.7976199941083069</v>
      </c>
      <c r="AW4" s="4">
        <v>2.7976199941083069</v>
      </c>
      <c r="AX4" s="4">
        <v>2.7976199941083069</v>
      </c>
      <c r="AY4" s="4">
        <v>2.7976199941083069</v>
      </c>
      <c r="AZ4" s="4">
        <v>2.7976199941083069</v>
      </c>
      <c r="BA4" s="4">
        <v>2.7976199941083069</v>
      </c>
      <c r="BB4" s="23">
        <v>2.7976199941083069</v>
      </c>
      <c r="BC4" s="4">
        <v>2.7976199941083069</v>
      </c>
      <c r="BD4" s="4">
        <v>2.7976199941083069</v>
      </c>
      <c r="BE4" s="4">
        <v>2.7976199941083069</v>
      </c>
      <c r="BF4" s="4">
        <v>2.7976199941083069</v>
      </c>
      <c r="BG4" s="4">
        <v>2.5755496417496424</v>
      </c>
      <c r="BH4" s="4">
        <v>2.5755496417496424</v>
      </c>
      <c r="BI4" s="23">
        <v>2.5755496417496424</v>
      </c>
      <c r="BJ4" s="35">
        <v>2.5755496417496424</v>
      </c>
      <c r="BK4" s="4">
        <v>2.5755496417496424</v>
      </c>
      <c r="BL4" s="35">
        <v>2.5755496417496424</v>
      </c>
      <c r="BM4" s="4">
        <v>2.5755496417496424</v>
      </c>
      <c r="BN4" s="4">
        <v>2.5755496417496424</v>
      </c>
      <c r="BO4" s="4">
        <v>2.5755496417496424</v>
      </c>
      <c r="BP4" s="4">
        <v>2.5755496417496424</v>
      </c>
      <c r="BQ4" s="35">
        <v>2.5755496417496424</v>
      </c>
      <c r="BR4" s="4">
        <v>2.5755496417496424</v>
      </c>
      <c r="BS4" s="35">
        <v>2.5755496417496424</v>
      </c>
      <c r="BT4" s="4">
        <v>2.5755496417496424</v>
      </c>
      <c r="BU4" s="4">
        <v>2.5755496417496424</v>
      </c>
      <c r="BV4" s="4">
        <v>2.5755496417496424</v>
      </c>
      <c r="BW4" s="4">
        <v>2.5755496417496424</v>
      </c>
      <c r="BX4" s="4">
        <v>2.5755496417496424</v>
      </c>
      <c r="BY4" s="4">
        <v>2.5755496417496424</v>
      </c>
      <c r="BZ4" s="4">
        <v>2.5755496417496424</v>
      </c>
      <c r="CA4" s="4">
        <v>2.5755496417496424</v>
      </c>
      <c r="CB4" s="4">
        <v>2.5755496417496424</v>
      </c>
      <c r="CC4" s="4">
        <v>2.5755496417496424</v>
      </c>
      <c r="CD4" s="4">
        <v>2.5755496417496424</v>
      </c>
      <c r="CE4" s="4">
        <v>2.5755496417496424</v>
      </c>
      <c r="CF4" s="4">
        <v>2.5755496417496424</v>
      </c>
      <c r="CG4" s="4">
        <v>2.5755496417496424</v>
      </c>
      <c r="CH4" s="4">
        <v>2.5755496417496424</v>
      </c>
      <c r="CI4" s="4">
        <v>2.5755496417496424</v>
      </c>
      <c r="CJ4" s="35">
        <v>2.5755496417496424</v>
      </c>
      <c r="CK4" s="4">
        <v>2.5755496417496424</v>
      </c>
      <c r="CL4" s="35">
        <v>2.5755496417496424</v>
      </c>
      <c r="CM4" s="4">
        <v>2.5755496417496424</v>
      </c>
      <c r="CN4" s="4">
        <v>2.5755496417496424</v>
      </c>
      <c r="CO4" s="4">
        <v>2.5755496417496424</v>
      </c>
      <c r="CP4" s="4">
        <v>2.5755496417496424</v>
      </c>
      <c r="CQ4" s="4">
        <v>2.5755496417496424</v>
      </c>
      <c r="CR4" s="4">
        <v>2.5755496417496424</v>
      </c>
      <c r="CS4" s="4">
        <v>2.5755496417496424</v>
      </c>
    </row>
    <row r="5" spans="1:97" x14ac:dyDescent="0.25">
      <c r="A5" t="s">
        <v>5</v>
      </c>
      <c r="C5" s="23">
        <v>4.9548967906282888</v>
      </c>
      <c r="D5" s="4">
        <v>4.9548967906282888</v>
      </c>
      <c r="E5" s="4">
        <v>4.9548967906282888</v>
      </c>
      <c r="F5" s="4">
        <v>4.9548967906282888</v>
      </c>
      <c r="G5" s="4">
        <v>4.9548967906282888</v>
      </c>
      <c r="H5" s="4">
        <v>4.9548967906282888</v>
      </c>
      <c r="I5" s="4">
        <v>4.9548967906282888</v>
      </c>
      <c r="J5" s="4">
        <v>4.9548967906282888</v>
      </c>
      <c r="K5" s="4">
        <v>4.9548967906282888</v>
      </c>
      <c r="L5" s="23">
        <v>4.9548967906282888</v>
      </c>
      <c r="M5" s="4">
        <v>4.9548967906282888</v>
      </c>
      <c r="N5" s="4">
        <v>4.9548967906282888</v>
      </c>
      <c r="O5" s="23">
        <v>4.9548967906282888</v>
      </c>
      <c r="P5" s="4">
        <v>4.9548967906282888</v>
      </c>
      <c r="Q5" s="4">
        <v>8.4988258583515979</v>
      </c>
      <c r="R5" s="4">
        <v>8.4988258583515979</v>
      </c>
      <c r="S5" s="4">
        <v>8.4988258583515979</v>
      </c>
      <c r="T5" s="23">
        <v>8.4988258583515979</v>
      </c>
      <c r="U5" s="39">
        <v>8.4988258583515979</v>
      </c>
      <c r="V5" s="39">
        <v>8.4988258583515979</v>
      </c>
      <c r="W5" s="39">
        <v>8.4988258583515979</v>
      </c>
      <c r="X5" s="39">
        <v>8.4988258583515979</v>
      </c>
      <c r="Y5" s="23">
        <v>8.4988258583515979</v>
      </c>
      <c r="Z5" s="39">
        <v>8.4988258583515979</v>
      </c>
      <c r="AA5" s="39">
        <v>8.4988258583515979</v>
      </c>
      <c r="AB5" s="39">
        <v>8.4988258583515979</v>
      </c>
      <c r="AC5" s="39">
        <v>8.4988258583515979</v>
      </c>
      <c r="AD5" s="4">
        <v>8.4988258583515979</v>
      </c>
      <c r="AE5" s="4">
        <v>8.4988258583515979</v>
      </c>
      <c r="AF5" s="4">
        <v>8.4297339001920832</v>
      </c>
      <c r="AG5" s="4">
        <v>8.4297339001920832</v>
      </c>
      <c r="AH5" s="4">
        <v>8.4297339001920832</v>
      </c>
      <c r="AI5" s="4">
        <v>8.4297339001920832</v>
      </c>
      <c r="AJ5" s="23">
        <v>8.4297339001920832</v>
      </c>
      <c r="AK5" s="39">
        <v>8.4297339001920832</v>
      </c>
      <c r="AL5" s="39">
        <v>8.4297339001920832</v>
      </c>
      <c r="AM5" s="39">
        <v>8.4297339001920832</v>
      </c>
      <c r="AN5" s="39">
        <v>8.4297339001920832</v>
      </c>
      <c r="AO5" s="4">
        <v>8.4297339001920832</v>
      </c>
      <c r="AP5" s="23">
        <v>8.4297339001920832</v>
      </c>
      <c r="AQ5" s="4">
        <v>8.4297339001920832</v>
      </c>
      <c r="AR5" s="4">
        <v>8.4297339001920832</v>
      </c>
      <c r="AS5" s="4">
        <v>8.4297339001920832</v>
      </c>
      <c r="AT5" s="4">
        <v>8.4297339001920832</v>
      </c>
      <c r="AU5" s="4">
        <v>8.4297339001920832</v>
      </c>
      <c r="AV5" s="23">
        <v>8.4297339001920832</v>
      </c>
      <c r="AW5" s="4">
        <v>8.4297339001920832</v>
      </c>
      <c r="AX5" s="4">
        <v>8.4297339001920832</v>
      </c>
      <c r="AY5" s="4">
        <v>8.4297339001920832</v>
      </c>
      <c r="AZ5" s="4">
        <v>8.4297339001920832</v>
      </c>
      <c r="BA5" s="4">
        <v>8.4297339001920832</v>
      </c>
      <c r="BB5" s="23">
        <v>8.4297339001920832</v>
      </c>
      <c r="BC5" s="4">
        <v>8.4297339001920832</v>
      </c>
      <c r="BD5" s="4">
        <v>8.4297339001920832</v>
      </c>
      <c r="BE5" s="4">
        <v>8.4297339001920832</v>
      </c>
      <c r="BF5" s="4">
        <v>8.4297339001920832</v>
      </c>
      <c r="BG5" s="4">
        <v>9.2081978135248779</v>
      </c>
      <c r="BH5" s="4">
        <v>9.2081978135248779</v>
      </c>
      <c r="BI5" s="23">
        <v>9.2081978135248779</v>
      </c>
      <c r="BJ5" s="35">
        <v>9.2081978135248779</v>
      </c>
      <c r="BK5" s="4">
        <v>9.2081978135248779</v>
      </c>
      <c r="BL5" s="35">
        <v>9.2081978135248779</v>
      </c>
      <c r="BM5" s="4">
        <v>9.2081978135248779</v>
      </c>
      <c r="BN5" s="4">
        <v>9.2081978135248779</v>
      </c>
      <c r="BO5" s="4">
        <v>9.2081978135248779</v>
      </c>
      <c r="BP5" s="4">
        <v>9.2081978135248779</v>
      </c>
      <c r="BQ5" s="35">
        <v>9.2081978135248779</v>
      </c>
      <c r="BR5" s="4">
        <v>9.2081978135248779</v>
      </c>
      <c r="BS5" s="35">
        <v>9.2081978135248779</v>
      </c>
      <c r="BT5" s="4">
        <v>9.2081978135248779</v>
      </c>
      <c r="BU5" s="4">
        <v>9.2081978135248779</v>
      </c>
      <c r="BV5" s="4">
        <v>9.2081978135248779</v>
      </c>
      <c r="BW5" s="4">
        <v>9.2081978135248779</v>
      </c>
      <c r="BX5" s="4">
        <v>9.2081978135248779</v>
      </c>
      <c r="BY5" s="4">
        <v>9.2081978135248779</v>
      </c>
      <c r="BZ5" s="4">
        <v>9.2081978135248779</v>
      </c>
      <c r="CA5" s="4">
        <v>9.2081978135248779</v>
      </c>
      <c r="CB5" s="4">
        <v>9.2081978135248779</v>
      </c>
      <c r="CC5" s="4">
        <v>9.2081978135248779</v>
      </c>
      <c r="CD5" s="4">
        <v>9.2081978135248779</v>
      </c>
      <c r="CE5" s="4">
        <v>9.2081978135248779</v>
      </c>
      <c r="CF5" s="4">
        <v>9.2081978135248779</v>
      </c>
      <c r="CG5" s="4">
        <v>9.2081978135248779</v>
      </c>
      <c r="CH5" s="4">
        <v>9.2081978135248779</v>
      </c>
      <c r="CI5" s="4">
        <v>9.2081978135248779</v>
      </c>
      <c r="CJ5" s="35">
        <v>9.2081978135248779</v>
      </c>
      <c r="CK5" s="4">
        <v>9.2081978135248779</v>
      </c>
      <c r="CL5" s="35">
        <v>9.2081978135248779</v>
      </c>
      <c r="CM5" s="4">
        <v>9.2081978135248779</v>
      </c>
      <c r="CN5" s="4">
        <v>9.2081978135248779</v>
      </c>
      <c r="CO5" s="4">
        <v>9.2081978135248779</v>
      </c>
      <c r="CP5" s="4">
        <v>9.2081978135248779</v>
      </c>
      <c r="CQ5" s="4">
        <v>9.2081978135248779</v>
      </c>
      <c r="CR5" s="4">
        <v>9.2081978135248779</v>
      </c>
      <c r="CS5" s="4">
        <v>9.2081978135248779</v>
      </c>
    </row>
    <row r="6" spans="1:97" x14ac:dyDescent="0.25">
      <c r="A6" t="s">
        <v>6</v>
      </c>
      <c r="C6" s="23">
        <v>3.9517641238659786</v>
      </c>
      <c r="D6" s="4">
        <v>3.9517641238659786</v>
      </c>
      <c r="E6" s="4">
        <v>3.9517641238659786</v>
      </c>
      <c r="F6" s="4">
        <v>3.9517641238659786</v>
      </c>
      <c r="G6" s="4">
        <v>3.9517641238659786</v>
      </c>
      <c r="H6" s="4">
        <v>3.9517641238659786</v>
      </c>
      <c r="I6" s="4">
        <v>3.9517641238659786</v>
      </c>
      <c r="J6" s="4">
        <v>3.9517641238659786</v>
      </c>
      <c r="K6" s="4">
        <v>3.9517641238659786</v>
      </c>
      <c r="L6" s="23">
        <v>3.9517641238659786</v>
      </c>
      <c r="M6" s="4">
        <v>3.9517641238659786</v>
      </c>
      <c r="N6" s="4">
        <v>3.9517641238659786</v>
      </c>
      <c r="O6" s="23">
        <v>3.9517641238659786</v>
      </c>
      <c r="P6" s="4">
        <v>3.9517641238659786</v>
      </c>
      <c r="Q6" s="4">
        <v>4.890824431274134</v>
      </c>
      <c r="R6" s="4">
        <v>4.890824431274134</v>
      </c>
      <c r="S6" s="4">
        <v>4.890824431274134</v>
      </c>
      <c r="T6" s="23">
        <v>4.890824431274134</v>
      </c>
      <c r="U6" s="39">
        <v>4.890824431274134</v>
      </c>
      <c r="V6" s="39">
        <v>4.890824431274134</v>
      </c>
      <c r="W6" s="39">
        <v>4.890824431274134</v>
      </c>
      <c r="X6" s="39">
        <v>4.890824431274134</v>
      </c>
      <c r="Y6" s="23">
        <v>4.890824431274134</v>
      </c>
      <c r="Z6" s="39">
        <v>4.890824431274134</v>
      </c>
      <c r="AA6" s="39">
        <v>4.890824431274134</v>
      </c>
      <c r="AB6" s="39">
        <v>4.890824431274134</v>
      </c>
      <c r="AC6" s="39">
        <v>4.890824431274134</v>
      </c>
      <c r="AD6" s="4">
        <v>4.890824431274134</v>
      </c>
      <c r="AE6" s="4">
        <v>4.890824431274134</v>
      </c>
      <c r="AF6" s="4">
        <v>5.1273933942430547</v>
      </c>
      <c r="AG6" s="4">
        <v>5.1273933942430547</v>
      </c>
      <c r="AH6" s="4">
        <v>5.1273933942430547</v>
      </c>
      <c r="AI6" s="4">
        <v>5.1273933942430547</v>
      </c>
      <c r="AJ6" s="23">
        <v>5.1273933942430547</v>
      </c>
      <c r="AK6" s="39">
        <v>5.1273933942430547</v>
      </c>
      <c r="AL6" s="39">
        <v>5.1273933942430547</v>
      </c>
      <c r="AM6" s="39">
        <v>5.1273933942430547</v>
      </c>
      <c r="AN6" s="39">
        <v>5.1273933942430547</v>
      </c>
      <c r="AO6" s="4">
        <v>5.1273933942430547</v>
      </c>
      <c r="AP6" s="23">
        <v>5.1273933942430547</v>
      </c>
      <c r="AQ6" s="4">
        <v>5.1273933942430547</v>
      </c>
      <c r="AR6" s="4">
        <v>5.1273933942430547</v>
      </c>
      <c r="AS6" s="4">
        <v>5.1273933942430547</v>
      </c>
      <c r="AT6" s="4">
        <v>5.1273933942430547</v>
      </c>
      <c r="AU6" s="4">
        <v>5.1273933942430547</v>
      </c>
      <c r="AV6" s="23">
        <v>5.1273933942430547</v>
      </c>
      <c r="AW6" s="4">
        <v>5.1273933942430547</v>
      </c>
      <c r="AX6" s="4">
        <v>5.1273933942430547</v>
      </c>
      <c r="AY6" s="4">
        <v>5.1273933942430547</v>
      </c>
      <c r="AZ6" s="4">
        <v>5.1273933942430547</v>
      </c>
      <c r="BA6" s="4">
        <v>5.1273933942430547</v>
      </c>
      <c r="BB6" s="23">
        <v>5.1273933942430547</v>
      </c>
      <c r="BC6" s="4">
        <v>5.1273933942430547</v>
      </c>
      <c r="BD6" s="4">
        <v>5.1273933942430547</v>
      </c>
      <c r="BE6" s="4">
        <v>5.1273933942430547</v>
      </c>
      <c r="BF6" s="4">
        <v>5.1273933942430547</v>
      </c>
      <c r="BG6" s="4">
        <v>4.7317486810437206</v>
      </c>
      <c r="BH6" s="4">
        <v>4.7317486810437206</v>
      </c>
      <c r="BI6" s="23">
        <v>4.7317486810437206</v>
      </c>
      <c r="BJ6" s="35">
        <v>4.7317486810437206</v>
      </c>
      <c r="BK6" s="4">
        <v>4.7317486810437206</v>
      </c>
      <c r="BL6" s="35">
        <v>4.7317486810437206</v>
      </c>
      <c r="BM6" s="4">
        <v>4.7317486810437206</v>
      </c>
      <c r="BN6" s="4">
        <v>4.7317486810437206</v>
      </c>
      <c r="BO6" s="4">
        <v>4.7317486810437206</v>
      </c>
      <c r="BP6" s="4">
        <v>4.7317486810437206</v>
      </c>
      <c r="BQ6" s="35">
        <v>4.7317486810437206</v>
      </c>
      <c r="BR6" s="4">
        <v>4.7317486810437206</v>
      </c>
      <c r="BS6" s="35">
        <v>4.7317486810437206</v>
      </c>
      <c r="BT6" s="4">
        <v>4.7317486810437206</v>
      </c>
      <c r="BU6" s="4">
        <v>4.7317486810437206</v>
      </c>
      <c r="BV6" s="4">
        <v>4.7317486810437206</v>
      </c>
      <c r="BW6" s="4">
        <v>4.7317486810437206</v>
      </c>
      <c r="BX6" s="4">
        <v>4.7317486810437206</v>
      </c>
      <c r="BY6" s="4">
        <v>4.7317486810437206</v>
      </c>
      <c r="BZ6" s="4">
        <v>4.7317486810437206</v>
      </c>
      <c r="CA6" s="4">
        <v>4.7317486810437206</v>
      </c>
      <c r="CB6" s="4">
        <v>4.7317486810437206</v>
      </c>
      <c r="CC6" s="4">
        <v>4.7317486810437206</v>
      </c>
      <c r="CD6" s="4">
        <v>4.7317486810437206</v>
      </c>
      <c r="CE6" s="4">
        <v>4.7317486810437206</v>
      </c>
      <c r="CF6" s="4">
        <v>4.7317486810437206</v>
      </c>
      <c r="CG6" s="4">
        <v>4.7317486810437206</v>
      </c>
      <c r="CH6" s="4">
        <v>4.7317486810437206</v>
      </c>
      <c r="CI6" s="4">
        <v>4.7317486810437206</v>
      </c>
      <c r="CJ6" s="35">
        <v>4.7317486810437206</v>
      </c>
      <c r="CK6" s="4">
        <v>4.7317486810437206</v>
      </c>
      <c r="CL6" s="35">
        <v>4.7317486810437206</v>
      </c>
      <c r="CM6" s="4">
        <v>4.7317486810437206</v>
      </c>
      <c r="CN6" s="4">
        <v>4.7317486810437206</v>
      </c>
      <c r="CO6" s="4">
        <v>4.7317486810437206</v>
      </c>
      <c r="CP6" s="4">
        <v>4.7317486810437206</v>
      </c>
      <c r="CQ6" s="4">
        <v>4.7317486810437206</v>
      </c>
      <c r="CR6" s="4">
        <v>4.7317486810437206</v>
      </c>
      <c r="CS6" s="4">
        <v>4.7317486810437206</v>
      </c>
    </row>
    <row r="7" spans="1:97" x14ac:dyDescent="0.25">
      <c r="A7" t="s">
        <v>7</v>
      </c>
      <c r="C7" s="23">
        <v>2.9643214098573352</v>
      </c>
      <c r="D7" s="4">
        <v>2.9643214098573352</v>
      </c>
      <c r="E7" s="4">
        <v>2.9643214098573352</v>
      </c>
      <c r="F7" s="4">
        <v>2.9643214098573352</v>
      </c>
      <c r="G7" s="4">
        <v>2.9643214098573352</v>
      </c>
      <c r="H7" s="4">
        <v>2.9643214098573352</v>
      </c>
      <c r="I7" s="4">
        <v>2.9643214098573352</v>
      </c>
      <c r="J7" s="4">
        <v>2.9643214098573352</v>
      </c>
      <c r="K7" s="4">
        <v>2.9643214098573352</v>
      </c>
      <c r="L7" s="23">
        <v>2.9643214098573352</v>
      </c>
      <c r="M7" s="4">
        <v>2.9643214098573352</v>
      </c>
      <c r="N7" s="4">
        <v>2.9643214098573352</v>
      </c>
      <c r="O7" s="23">
        <v>2.9643214098573352</v>
      </c>
      <c r="P7" s="4">
        <v>2.9643214098573352</v>
      </c>
      <c r="Q7" s="4">
        <v>3.2846950098675589</v>
      </c>
      <c r="R7" s="4">
        <v>3.2846950098675589</v>
      </c>
      <c r="S7" s="4">
        <v>3.2846950098675589</v>
      </c>
      <c r="T7" s="23">
        <v>3.2846950098675589</v>
      </c>
      <c r="U7" s="39">
        <v>3.2846950098675589</v>
      </c>
      <c r="V7" s="39">
        <v>3.2846950098675589</v>
      </c>
      <c r="W7" s="39">
        <v>3.2846950098675589</v>
      </c>
      <c r="X7" s="39">
        <v>3.2846950098675589</v>
      </c>
      <c r="Y7" s="23">
        <v>3.2846950098675589</v>
      </c>
      <c r="Z7" s="39">
        <v>3.2846950098675589</v>
      </c>
      <c r="AA7" s="39">
        <v>3.2846950098675589</v>
      </c>
      <c r="AB7" s="39">
        <v>3.2846950098675589</v>
      </c>
      <c r="AC7" s="39">
        <v>3.2846950098675589</v>
      </c>
      <c r="AD7" s="4">
        <v>3.2846950098675589</v>
      </c>
      <c r="AE7" s="4">
        <v>3.2846950098675589</v>
      </c>
      <c r="AF7" s="4">
        <v>3.1999471776385007</v>
      </c>
      <c r="AG7" s="4">
        <v>3.1999471776385007</v>
      </c>
      <c r="AH7" s="4">
        <v>3.1999471776385007</v>
      </c>
      <c r="AI7" s="4">
        <v>3.1999471776385007</v>
      </c>
      <c r="AJ7" s="23">
        <v>3.1999471776385007</v>
      </c>
      <c r="AK7" s="39">
        <v>3.1999471776385007</v>
      </c>
      <c r="AL7" s="39">
        <v>3.1999471776385007</v>
      </c>
      <c r="AM7" s="39">
        <v>3.1999471776385007</v>
      </c>
      <c r="AN7" s="39">
        <v>3.1999471776385007</v>
      </c>
      <c r="AO7" s="4">
        <v>3.1999471776385007</v>
      </c>
      <c r="AP7" s="23">
        <v>3.1999471776385007</v>
      </c>
      <c r="AQ7" s="4">
        <v>3.1999471776385007</v>
      </c>
      <c r="AR7" s="4">
        <v>3.1999471776385007</v>
      </c>
      <c r="AS7" s="4">
        <v>3.1999471776385007</v>
      </c>
      <c r="AT7" s="4">
        <v>3.1999471776385007</v>
      </c>
      <c r="AU7" s="4">
        <v>3.1999471776385007</v>
      </c>
      <c r="AV7" s="23">
        <v>3.1999471776385007</v>
      </c>
      <c r="AW7" s="4">
        <v>3.1999471776385007</v>
      </c>
      <c r="AX7" s="4">
        <v>3.1999471776385007</v>
      </c>
      <c r="AY7" s="4">
        <v>3.1999471776385007</v>
      </c>
      <c r="AZ7" s="4">
        <v>3.1999471776385007</v>
      </c>
      <c r="BA7" s="4">
        <v>3.1999471776385007</v>
      </c>
      <c r="BB7" s="23">
        <v>3.1999471776385007</v>
      </c>
      <c r="BC7" s="4">
        <v>3.1999471776385007</v>
      </c>
      <c r="BD7" s="4">
        <v>3.1999471776385007</v>
      </c>
      <c r="BE7" s="4">
        <v>3.1999471776385007</v>
      </c>
      <c r="BF7" s="4">
        <v>3.1999471776385007</v>
      </c>
      <c r="BG7" s="4">
        <v>3.2987633086641228</v>
      </c>
      <c r="BH7" s="4">
        <v>3.2987633086641228</v>
      </c>
      <c r="BI7" s="23">
        <v>3.2987633086641228</v>
      </c>
      <c r="BJ7" s="35">
        <v>3.2987633086641228</v>
      </c>
      <c r="BK7" s="4">
        <v>3.2987633086641228</v>
      </c>
      <c r="BL7" s="35">
        <v>3.2987633086641228</v>
      </c>
      <c r="BM7" s="4">
        <v>3.2987633086641228</v>
      </c>
      <c r="BN7" s="4">
        <v>3.2987633086641228</v>
      </c>
      <c r="BO7" s="4">
        <v>3.2987633086641228</v>
      </c>
      <c r="BP7" s="4">
        <v>3.2987633086641228</v>
      </c>
      <c r="BQ7" s="35">
        <v>3.2987633086641228</v>
      </c>
      <c r="BR7" s="4">
        <v>3.2987633086641228</v>
      </c>
      <c r="BS7" s="35">
        <v>3.2987633086641228</v>
      </c>
      <c r="BT7" s="4">
        <v>3.2987633086641228</v>
      </c>
      <c r="BU7" s="4">
        <v>3.2987633086641228</v>
      </c>
      <c r="BV7" s="4">
        <v>3.2987633086641228</v>
      </c>
      <c r="BW7" s="4">
        <v>3.2987633086641228</v>
      </c>
      <c r="BX7" s="4">
        <v>3.2987633086641228</v>
      </c>
      <c r="BY7" s="4">
        <v>3.2987633086641228</v>
      </c>
      <c r="BZ7" s="4">
        <v>3.2987633086641228</v>
      </c>
      <c r="CA7" s="4">
        <v>3.2987633086641228</v>
      </c>
      <c r="CB7" s="4">
        <v>3.2987633086641228</v>
      </c>
      <c r="CC7" s="4">
        <v>3.2987633086641228</v>
      </c>
      <c r="CD7" s="4">
        <v>3.2987633086641228</v>
      </c>
      <c r="CE7" s="4">
        <v>3.2987633086641228</v>
      </c>
      <c r="CF7" s="4">
        <v>3.2987633086641228</v>
      </c>
      <c r="CG7" s="4">
        <v>3.2987633086641228</v>
      </c>
      <c r="CH7" s="4">
        <v>3.2987633086641228</v>
      </c>
      <c r="CI7" s="4">
        <v>3.2987633086641228</v>
      </c>
      <c r="CJ7" s="35">
        <v>3.2987633086641228</v>
      </c>
      <c r="CK7" s="4">
        <v>3.2987633086641228</v>
      </c>
      <c r="CL7" s="35">
        <v>3.2987633086641228</v>
      </c>
      <c r="CM7" s="4">
        <v>3.2987633086641228</v>
      </c>
      <c r="CN7" s="4">
        <v>3.2987633086641228</v>
      </c>
      <c r="CO7" s="4">
        <v>3.2987633086641228</v>
      </c>
      <c r="CP7" s="4">
        <v>3.2987633086641228</v>
      </c>
      <c r="CQ7" s="4">
        <v>3.2987633086641228</v>
      </c>
      <c r="CR7" s="4">
        <v>3.2987633086641228</v>
      </c>
      <c r="CS7" s="4">
        <v>3.2987633086641228</v>
      </c>
    </row>
    <row r="8" spans="1:97" x14ac:dyDescent="0.25">
      <c r="C8" s="23">
        <f>C10-D10</f>
        <v>0</v>
      </c>
      <c r="D8" s="4"/>
      <c r="E8" s="16">
        <f t="shared" ref="E8:AW8" si="0">E10-F10</f>
        <v>0</v>
      </c>
      <c r="F8" s="4"/>
      <c r="G8" s="16">
        <f t="shared" si="0"/>
        <v>0</v>
      </c>
      <c r="H8" s="16">
        <f t="shared" si="0"/>
        <v>0</v>
      </c>
      <c r="I8" s="4"/>
      <c r="J8" s="4">
        <f t="shared" si="0"/>
        <v>0</v>
      </c>
      <c r="K8" s="4">
        <f t="shared" si="0"/>
        <v>0</v>
      </c>
      <c r="L8" s="23"/>
      <c r="M8" s="16">
        <f t="shared" si="0"/>
        <v>300000000</v>
      </c>
      <c r="N8" s="4"/>
      <c r="O8" s="23">
        <f t="shared" si="0"/>
        <v>-200000000</v>
      </c>
      <c r="P8" s="4"/>
      <c r="Q8" s="16">
        <f t="shared" si="0"/>
        <v>-100000000</v>
      </c>
      <c r="R8" s="4"/>
      <c r="S8" s="4">
        <f t="shared" si="0"/>
        <v>-20000000</v>
      </c>
      <c r="T8" s="23"/>
      <c r="U8" s="39">
        <f t="shared" si="0"/>
        <v>0</v>
      </c>
      <c r="V8" s="39"/>
      <c r="W8" s="39">
        <f t="shared" si="0"/>
        <v>0</v>
      </c>
      <c r="X8" s="39">
        <f t="shared" si="0"/>
        <v>0</v>
      </c>
      <c r="Y8" s="23"/>
      <c r="Z8" s="39">
        <f t="shared" si="0"/>
        <v>0</v>
      </c>
      <c r="AA8" s="39">
        <f t="shared" si="0"/>
        <v>0</v>
      </c>
      <c r="AB8" s="39"/>
      <c r="AC8" s="39">
        <f t="shared" si="0"/>
        <v>0</v>
      </c>
      <c r="AD8" s="16">
        <f t="shared" si="0"/>
        <v>0</v>
      </c>
      <c r="AE8" s="4"/>
      <c r="AF8" s="16">
        <f t="shared" si="0"/>
        <v>0</v>
      </c>
      <c r="AG8" s="16">
        <f t="shared" si="0"/>
        <v>0</v>
      </c>
      <c r="AH8" s="4"/>
      <c r="AI8" s="16">
        <f t="shared" si="0"/>
        <v>0</v>
      </c>
      <c r="AJ8" s="23">
        <f t="shared" si="0"/>
        <v>0</v>
      </c>
      <c r="AK8" s="39"/>
      <c r="AL8" s="39">
        <f t="shared" si="0"/>
        <v>0</v>
      </c>
      <c r="AM8" s="39">
        <f t="shared" si="0"/>
        <v>0</v>
      </c>
      <c r="AN8" s="39"/>
      <c r="AO8" s="16">
        <f t="shared" si="0"/>
        <v>0</v>
      </c>
      <c r="AP8" s="23">
        <f t="shared" si="0"/>
        <v>0</v>
      </c>
      <c r="AQ8" s="4"/>
      <c r="AR8" s="16">
        <f t="shared" si="0"/>
        <v>0</v>
      </c>
      <c r="AS8" s="16">
        <f t="shared" si="0"/>
        <v>0</v>
      </c>
      <c r="AT8" s="4"/>
      <c r="AU8" s="16">
        <f t="shared" si="0"/>
        <v>0</v>
      </c>
      <c r="AV8" s="23">
        <f t="shared" si="0"/>
        <v>0</v>
      </c>
      <c r="AW8" s="16">
        <f t="shared" si="0"/>
        <v>0</v>
      </c>
      <c r="AX8" s="4"/>
      <c r="AY8" s="4"/>
      <c r="AZ8" s="4"/>
      <c r="BA8" s="4"/>
      <c r="BB8" s="23"/>
      <c r="BC8" s="4"/>
      <c r="BD8" s="4"/>
      <c r="BE8" s="4"/>
      <c r="BF8" s="4"/>
      <c r="BG8" s="4"/>
      <c r="BH8" s="4"/>
      <c r="BI8" s="23"/>
      <c r="BJ8" s="35"/>
      <c r="BK8" s="4"/>
      <c r="BL8" s="35"/>
      <c r="BM8" s="4"/>
      <c r="BN8" s="4"/>
      <c r="BO8" s="4"/>
      <c r="BP8" s="4"/>
      <c r="BQ8" s="35"/>
      <c r="BR8" s="4"/>
      <c r="BS8" s="35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35"/>
      <c r="CK8" s="4"/>
      <c r="CL8" s="35"/>
      <c r="CM8" s="4"/>
      <c r="CN8" s="4"/>
      <c r="CO8" s="4"/>
      <c r="CP8" s="4"/>
      <c r="CQ8" s="4"/>
      <c r="CR8" s="4"/>
      <c r="CS8" s="4"/>
    </row>
    <row r="9" spans="1:97" x14ac:dyDescent="0.25">
      <c r="A9" s="1" t="s">
        <v>8</v>
      </c>
      <c r="B9" s="2" t="s">
        <v>9</v>
      </c>
      <c r="C9" s="23">
        <v>8373304279.3999996</v>
      </c>
      <c r="D9" s="4">
        <v>8373304279.3999996</v>
      </c>
      <c r="E9" s="4">
        <v>8373304279.3999996</v>
      </c>
      <c r="F9" s="4">
        <v>8373304279.3999996</v>
      </c>
      <c r="G9" s="4">
        <v>8373304279.3999996</v>
      </c>
      <c r="H9" s="4">
        <v>8373304279.3999996</v>
      </c>
      <c r="I9" s="4">
        <v>8373304279.3999996</v>
      </c>
      <c r="J9" s="4">
        <v>8373304279.3999996</v>
      </c>
      <c r="K9" s="4">
        <v>8373304279.3999996</v>
      </c>
      <c r="L9" s="23">
        <v>8373304279.3999996</v>
      </c>
      <c r="M9" s="4">
        <v>8373304279.3999996</v>
      </c>
      <c r="N9" s="4">
        <v>8373304279.3999996</v>
      </c>
      <c r="O9" s="23">
        <v>8373304279.3999996</v>
      </c>
      <c r="P9" s="4">
        <v>8373304279.3999996</v>
      </c>
      <c r="Q9" s="4">
        <v>8122554116.8899994</v>
      </c>
      <c r="R9" s="4">
        <v>8122554116.8899994</v>
      </c>
      <c r="S9" s="4">
        <v>8122554116.8899994</v>
      </c>
      <c r="T9" s="23">
        <v>8122554116.8899994</v>
      </c>
      <c r="U9" s="39">
        <v>8122554116.8899994</v>
      </c>
      <c r="V9" s="39">
        <v>8122554116.8899994</v>
      </c>
      <c r="W9" s="39">
        <v>8122554116.8899994</v>
      </c>
      <c r="X9" s="39">
        <v>8122554116.8899994</v>
      </c>
      <c r="Y9" s="23">
        <v>8122554116.8899994</v>
      </c>
      <c r="Z9" s="39">
        <v>8122554116.8899994</v>
      </c>
      <c r="AA9" s="39">
        <v>8122554116.8899994</v>
      </c>
      <c r="AB9" s="39">
        <v>8122554116.8899994</v>
      </c>
      <c r="AC9" s="39">
        <v>8122554116.8899994</v>
      </c>
      <c r="AD9" s="4">
        <v>8122554116.8899994</v>
      </c>
      <c r="AE9" s="4">
        <v>8122554116.8899994</v>
      </c>
      <c r="AF9" s="4">
        <v>8722730741.4599991</v>
      </c>
      <c r="AG9" s="4">
        <v>8722730741.4599991</v>
      </c>
      <c r="AH9" s="4">
        <v>8722730741.4599991</v>
      </c>
      <c r="AI9" s="4">
        <v>8722730741.4599991</v>
      </c>
      <c r="AJ9" s="23">
        <v>8722730741.4599991</v>
      </c>
      <c r="AK9" s="39">
        <v>8722730741.4599991</v>
      </c>
      <c r="AL9" s="39">
        <v>8722730741.4599991</v>
      </c>
      <c r="AM9" s="39">
        <v>8722730741.4599991</v>
      </c>
      <c r="AN9" s="39">
        <v>8722730741.4599991</v>
      </c>
      <c r="AO9" s="4">
        <v>8722730741.4599991</v>
      </c>
      <c r="AP9" s="23">
        <v>8722730741.4599991</v>
      </c>
      <c r="AQ9" s="4">
        <v>8722730741.4599991</v>
      </c>
      <c r="AR9" s="4">
        <v>8722730741.4599991</v>
      </c>
      <c r="AS9" s="4">
        <v>8722730741.4599991</v>
      </c>
      <c r="AT9" s="4">
        <v>8722730741.4599991</v>
      </c>
      <c r="AU9" s="4">
        <v>8722730741.4599991</v>
      </c>
      <c r="AV9" s="23">
        <v>8722730741.4599991</v>
      </c>
      <c r="AW9" s="4">
        <v>8722730741.4599991</v>
      </c>
      <c r="AX9" s="4">
        <v>8722730741.4599991</v>
      </c>
      <c r="AY9" s="4">
        <v>8722730741.4599991</v>
      </c>
      <c r="AZ9" s="4">
        <v>8722730741.4599991</v>
      </c>
      <c r="BA9" s="4">
        <v>8722730741.4599991</v>
      </c>
      <c r="BB9" s="23">
        <v>8722730741.4599991</v>
      </c>
      <c r="BC9" s="4">
        <v>8722730741.4599991</v>
      </c>
      <c r="BD9" s="4">
        <v>8722730741.4599991</v>
      </c>
      <c r="BE9" s="4">
        <v>8722730741.4599991</v>
      </c>
      <c r="BF9" s="4">
        <v>8722730741.4599991</v>
      </c>
      <c r="BG9" s="4">
        <v>8883537290.4183998</v>
      </c>
      <c r="BH9" s="4">
        <v>8883537290.4183998</v>
      </c>
      <c r="BI9" s="23">
        <v>8883537290.4183998</v>
      </c>
      <c r="BJ9" s="35">
        <v>8883537290.4183998</v>
      </c>
      <c r="BK9" s="4">
        <v>8883537290.4183998</v>
      </c>
      <c r="BL9" s="35">
        <v>8883537290.4183998</v>
      </c>
      <c r="BM9" s="4">
        <v>8883537290.4183998</v>
      </c>
      <c r="BN9" s="4">
        <v>8883537290.4183998</v>
      </c>
      <c r="BO9" s="4">
        <v>8883537290.4183998</v>
      </c>
      <c r="BP9" s="4">
        <v>8883537290.4183998</v>
      </c>
      <c r="BQ9" s="35">
        <v>8883537290.4183998</v>
      </c>
      <c r="BR9" s="4">
        <v>8883537290.4183998</v>
      </c>
      <c r="BS9" s="35">
        <v>8883537290.4183998</v>
      </c>
      <c r="BT9" s="4">
        <v>8883537290.4183998</v>
      </c>
      <c r="BU9" s="4">
        <v>8883537290.4183998</v>
      </c>
      <c r="BV9" s="4">
        <v>8883537290.4183998</v>
      </c>
      <c r="BW9" s="4">
        <v>8883537290.4183998</v>
      </c>
      <c r="BX9" s="4">
        <v>8883537290.4183998</v>
      </c>
      <c r="BY9" s="4">
        <v>8883537290.4183998</v>
      </c>
      <c r="BZ9" s="4">
        <v>8883537290.4183998</v>
      </c>
      <c r="CA9" s="4">
        <v>8883537290.4183998</v>
      </c>
      <c r="CB9" s="4">
        <v>8883537290.4183998</v>
      </c>
      <c r="CC9" s="4">
        <v>8883537290.4183998</v>
      </c>
      <c r="CD9" s="4">
        <v>8883537290.4183998</v>
      </c>
      <c r="CE9" s="4">
        <v>8883537290.4183998</v>
      </c>
      <c r="CF9" s="4">
        <v>8883537290.4183998</v>
      </c>
      <c r="CG9" s="4">
        <v>8883537290.4183998</v>
      </c>
      <c r="CH9" s="4">
        <v>8883537290.4183998</v>
      </c>
      <c r="CI9" s="4">
        <v>8883537290.4183998</v>
      </c>
      <c r="CJ9" s="35">
        <v>8883537290.4183998</v>
      </c>
      <c r="CK9" s="4">
        <v>8883537290.4183998</v>
      </c>
      <c r="CL9" s="35">
        <v>8883537290.4183998</v>
      </c>
      <c r="CM9" s="4">
        <v>8883537290.4183998</v>
      </c>
      <c r="CN9" s="4">
        <v>8883537290.4183998</v>
      </c>
      <c r="CO9" s="4">
        <v>8883537290.4183998</v>
      </c>
      <c r="CP9" s="4">
        <v>8883537290.4183998</v>
      </c>
      <c r="CQ9" s="4">
        <v>8883537290.4183998</v>
      </c>
      <c r="CR9" s="4">
        <v>8883537290.4183998</v>
      </c>
      <c r="CS9" s="4">
        <v>8883537290.4183998</v>
      </c>
    </row>
    <row r="10" spans="1:97" s="15" customFormat="1" x14ac:dyDescent="0.25">
      <c r="A10" s="12"/>
      <c r="B10" s="13"/>
      <c r="C10" s="23">
        <f>SUM(C19:C22)+SUM(C25:C33)+SUM(C36:C40)+SUM(C50:C54)</f>
        <v>12699461727.630001</v>
      </c>
      <c r="D10" s="14">
        <f t="shared" ref="D10:CF10" si="1">SUM(D19:D22)+SUM(D25:D33)+SUM(D36:D40)+SUM(D50:D54)</f>
        <v>12699461727.630001</v>
      </c>
      <c r="E10" s="14">
        <f t="shared" si="1"/>
        <v>12699461727.630001</v>
      </c>
      <c r="F10" s="14">
        <f t="shared" si="1"/>
        <v>12699461727.630001</v>
      </c>
      <c r="G10" s="14">
        <f t="shared" ref="G10" si="2">SUM(G19:G22)+SUM(G25:G33)+SUM(G36:G40)+SUM(G50:G54)</f>
        <v>12999461727.630001</v>
      </c>
      <c r="H10" s="14">
        <f t="shared" si="1"/>
        <v>12999461727.630001</v>
      </c>
      <c r="I10" s="14">
        <f t="shared" si="1"/>
        <v>12999461727.630001</v>
      </c>
      <c r="J10" s="4">
        <f t="shared" ref="J10" si="3">SUM(J19:J22)+SUM(J25:J33)+SUM(J36:J40)+SUM(J50:J54)</f>
        <v>13099461727.630001</v>
      </c>
      <c r="K10" s="4">
        <f t="shared" si="1"/>
        <v>13099461727.630001</v>
      </c>
      <c r="L10" s="23">
        <f t="shared" si="1"/>
        <v>13099461727.630001</v>
      </c>
      <c r="M10" s="14">
        <f t="shared" si="1"/>
        <v>12849461727.630001</v>
      </c>
      <c r="N10" s="14">
        <f t="shared" si="1"/>
        <v>12549461727.630001</v>
      </c>
      <c r="O10" s="23">
        <f t="shared" si="1"/>
        <v>12599461727.630001</v>
      </c>
      <c r="P10" s="14">
        <f t="shared" si="1"/>
        <v>12799461727.630001</v>
      </c>
      <c r="Q10" s="14">
        <f t="shared" si="1"/>
        <v>12147694528.849998</v>
      </c>
      <c r="R10" s="4">
        <f t="shared" si="1"/>
        <v>12247694528.849998</v>
      </c>
      <c r="S10" s="4">
        <f t="shared" si="1"/>
        <v>12187694528.849998</v>
      </c>
      <c r="T10" s="23">
        <f t="shared" si="1"/>
        <v>12207694528.849998</v>
      </c>
      <c r="U10" s="39">
        <f t="shared" si="1"/>
        <v>12197694528.849998</v>
      </c>
      <c r="V10" s="39">
        <f t="shared" si="1"/>
        <v>12197694528.849998</v>
      </c>
      <c r="W10" s="39">
        <f t="shared" ref="W10" si="4">SUM(W19:W22)+SUM(W25:W33)+SUM(W36:W40)+SUM(W50:W54)</f>
        <v>12217694528.849998</v>
      </c>
      <c r="X10" s="39">
        <f t="shared" si="1"/>
        <v>12217694528.849998</v>
      </c>
      <c r="Y10" s="23">
        <f t="shared" si="1"/>
        <v>12217694528.849998</v>
      </c>
      <c r="Z10" s="39">
        <f t="shared" ref="Z10" si="5">SUM(Z19:Z22)+SUM(Z25:Z33)+SUM(Z36:Z40)+SUM(Z50:Z54)</f>
        <v>12217694528.849998</v>
      </c>
      <c r="AA10" s="39">
        <f t="shared" si="1"/>
        <v>12217694528.849998</v>
      </c>
      <c r="AB10" s="39">
        <f t="shared" si="1"/>
        <v>12217694528.849998</v>
      </c>
      <c r="AC10" s="39">
        <f t="shared" ref="AC10" si="6">SUM(AC19:AC22)+SUM(AC25:AC33)+SUM(AC36:AC40)+SUM(AC50:AC54)</f>
        <v>12247694528.849998</v>
      </c>
      <c r="AD10" s="14">
        <f t="shared" si="1"/>
        <v>12247694528.849998</v>
      </c>
      <c r="AE10" s="14">
        <f t="shared" si="1"/>
        <v>12247694528.849998</v>
      </c>
      <c r="AF10" s="14">
        <f t="shared" ref="AF10" si="7">SUM(AF19:AF22)+SUM(AF25:AF33)+SUM(AF36:AF40)+SUM(AF50:AF54)</f>
        <v>13359039895.32</v>
      </c>
      <c r="AG10" s="14">
        <f t="shared" si="1"/>
        <v>13359039895.32</v>
      </c>
      <c r="AH10" s="14">
        <f t="shared" si="1"/>
        <v>13359039895.32</v>
      </c>
      <c r="AI10" s="14">
        <f t="shared" ref="AI10" si="8">SUM(AI19:AI22)+SUM(AI25:AI33)+SUM(AI36:AI40)+SUM(AI50:AI54)</f>
        <v>13309039895.32</v>
      </c>
      <c r="AJ10" s="23">
        <f t="shared" si="1"/>
        <v>13309039895.32</v>
      </c>
      <c r="AK10" s="39">
        <f t="shared" si="1"/>
        <v>13309039895.32</v>
      </c>
      <c r="AL10" s="39">
        <f t="shared" ref="AL10" si="9">SUM(AL19:AL22)+SUM(AL25:AL33)+SUM(AL36:AL40)+SUM(AL50:AL54)</f>
        <v>13359039895.32</v>
      </c>
      <c r="AM10" s="39">
        <f t="shared" si="1"/>
        <v>13359039895.32</v>
      </c>
      <c r="AN10" s="39">
        <f t="shared" si="1"/>
        <v>13359039895.32</v>
      </c>
      <c r="AO10" s="14">
        <f t="shared" ref="AO10" si="10">SUM(AO19:AO22)+SUM(AO25:AO33)+SUM(AO36:AO40)+SUM(AO50:AO54)</f>
        <v>13359039895.32</v>
      </c>
      <c r="AP10" s="23">
        <f t="shared" si="1"/>
        <v>13359039895.32</v>
      </c>
      <c r="AQ10" s="14">
        <f t="shared" si="1"/>
        <v>13359039895.32</v>
      </c>
      <c r="AR10" s="14">
        <f t="shared" ref="AR10" si="11">SUM(AR19:AR22)+SUM(AR25:AR33)+SUM(AR36:AR40)+SUM(AR50:AR54)</f>
        <v>13259039895.32</v>
      </c>
      <c r="AS10" s="14">
        <f t="shared" si="1"/>
        <v>13259039895.32</v>
      </c>
      <c r="AT10" s="14">
        <f t="shared" si="1"/>
        <v>13259039895.32</v>
      </c>
      <c r="AU10" s="14">
        <f t="shared" si="1"/>
        <v>13209039895.32</v>
      </c>
      <c r="AV10" s="23">
        <f t="shared" si="1"/>
        <v>13209039895.32</v>
      </c>
      <c r="AW10" s="14">
        <f t="shared" si="1"/>
        <v>13209039895.32</v>
      </c>
      <c r="AX10" s="14">
        <f t="shared" si="1"/>
        <v>13209039895.32</v>
      </c>
      <c r="AY10" s="14">
        <f t="shared" si="1"/>
        <v>13259039895.32</v>
      </c>
      <c r="AZ10" s="14">
        <f t="shared" si="1"/>
        <v>13159039895.32</v>
      </c>
      <c r="BA10" s="14">
        <f t="shared" ref="BA10" si="12">SUM(BA19:BA22)+SUM(BA25:BA33)+SUM(BA36:BA40)+SUM(BA50:BA54)</f>
        <v>13229039895.32</v>
      </c>
      <c r="BB10" s="23">
        <f t="shared" si="1"/>
        <v>13239039895.32</v>
      </c>
      <c r="BC10" s="14">
        <f t="shared" si="1"/>
        <v>13219039895.32</v>
      </c>
      <c r="BD10" s="14">
        <f t="shared" ref="BD10" si="13">SUM(BD19:BD22)+SUM(BD25:BD33)+SUM(BD36:BD40)+SUM(BD50:BD54)</f>
        <v>13225318504.85</v>
      </c>
      <c r="BE10" s="14">
        <f t="shared" si="1"/>
        <v>13325318504.85</v>
      </c>
      <c r="BF10" s="14">
        <f t="shared" si="1"/>
        <v>13125318504.85</v>
      </c>
      <c r="BG10" s="14">
        <f t="shared" ref="BG10" si="14">SUM(BG19:BG22)+SUM(BG25:BG33)+SUM(BG36:BG40)+SUM(BG50:BG54)</f>
        <v>13324478079.048401</v>
      </c>
      <c r="BH10" s="4">
        <f t="shared" si="1"/>
        <v>13334478079.048401</v>
      </c>
      <c r="BI10" s="23">
        <f t="shared" si="1"/>
        <v>13314478079.048401</v>
      </c>
      <c r="BJ10" s="35">
        <f t="shared" si="1"/>
        <v>13294478079.048401</v>
      </c>
      <c r="BK10" s="14">
        <f t="shared" si="1"/>
        <v>13294478079.048401</v>
      </c>
      <c r="BL10" s="35">
        <f t="shared" si="1"/>
        <v>13309478079.048399</v>
      </c>
      <c r="BM10" s="14">
        <f t="shared" si="1"/>
        <v>13279478079.048399</v>
      </c>
      <c r="BN10" s="14">
        <f t="shared" si="1"/>
        <v>13294478079.048401</v>
      </c>
      <c r="BO10" s="14">
        <f t="shared" si="1"/>
        <v>13294478079.048401</v>
      </c>
      <c r="BP10" s="14">
        <f t="shared" si="1"/>
        <v>13294478079.048401</v>
      </c>
      <c r="BQ10" s="35">
        <f t="shared" si="1"/>
        <v>13294478079.048401</v>
      </c>
      <c r="BR10" s="14">
        <f t="shared" si="1"/>
        <v>13309478079.048399</v>
      </c>
      <c r="BS10" s="35">
        <f t="shared" si="1"/>
        <v>13279478079.048399</v>
      </c>
      <c r="BT10" s="14">
        <f t="shared" ref="BT10" si="15">SUM(BT19:BT22)+SUM(BT25:BT33)+SUM(BT36:BT40)+SUM(BT50:BT54)</f>
        <v>13314478079.048401</v>
      </c>
      <c r="BU10" s="14">
        <f t="shared" si="1"/>
        <v>13314478079.048401</v>
      </c>
      <c r="BV10" s="14">
        <f t="shared" si="1"/>
        <v>13314478079.048401</v>
      </c>
      <c r="BW10" s="14">
        <f t="shared" ref="BW10" si="16">SUM(BW19:BW22)+SUM(BW25:BW33)+SUM(BW36:BW40)+SUM(BW50:BW54)</f>
        <v>13314478079.048401</v>
      </c>
      <c r="BX10" s="14">
        <f t="shared" si="1"/>
        <v>13309478079.048401</v>
      </c>
      <c r="BY10" s="14">
        <f t="shared" si="1"/>
        <v>13319478079.048401</v>
      </c>
      <c r="BZ10" s="14">
        <f t="shared" ref="BZ10" si="17">SUM(BZ19:BZ22)+SUM(BZ25:BZ33)+SUM(BZ36:BZ40)+SUM(BZ50:BZ54)</f>
        <v>13334478079.048401</v>
      </c>
      <c r="CA10" s="14">
        <f t="shared" si="1"/>
        <v>13334478079.048401</v>
      </c>
      <c r="CB10" s="14">
        <f t="shared" si="1"/>
        <v>13334478079.048401</v>
      </c>
      <c r="CC10" s="14">
        <f t="shared" ref="CC10" si="18">SUM(CC19:CC22)+SUM(CC25:CC33)+SUM(CC36:CC40)+SUM(CC50:CC54)</f>
        <v>13334478079.048399</v>
      </c>
      <c r="CD10" s="14">
        <f t="shared" si="1"/>
        <v>13324478079.048399</v>
      </c>
      <c r="CE10" s="14">
        <f t="shared" si="1"/>
        <v>13344478079.048399</v>
      </c>
      <c r="CF10" s="14">
        <f t="shared" si="1"/>
        <v>13324478079.048401</v>
      </c>
      <c r="CG10" s="14">
        <f t="shared" ref="CG10:CS10" si="19">SUM(CG19:CG22)+SUM(CG25:CG33)+SUM(CG36:CG40)+SUM(CG50:CG54)</f>
        <v>13264478079.048401</v>
      </c>
      <c r="CH10" s="14">
        <f t="shared" si="19"/>
        <v>13299478079.048401</v>
      </c>
      <c r="CI10" s="14">
        <f t="shared" si="19"/>
        <v>13289478079.048401</v>
      </c>
      <c r="CJ10" s="35">
        <f t="shared" si="19"/>
        <v>13294478079.048399</v>
      </c>
      <c r="CK10" s="14">
        <f t="shared" si="19"/>
        <v>13294478079.048399</v>
      </c>
      <c r="CL10" s="35">
        <f t="shared" si="19"/>
        <v>13304478079.048401</v>
      </c>
      <c r="CM10" s="14">
        <f t="shared" si="19"/>
        <v>13284478079.048401</v>
      </c>
      <c r="CN10" s="14">
        <f t="shared" si="19"/>
        <v>13294478079.048399</v>
      </c>
      <c r="CO10" s="14">
        <f t="shared" si="19"/>
        <v>13294478079.048399</v>
      </c>
      <c r="CP10" s="14">
        <f t="shared" si="19"/>
        <v>13309478079.048401</v>
      </c>
      <c r="CQ10" s="14">
        <f t="shared" si="19"/>
        <v>13279478079.048401</v>
      </c>
      <c r="CR10" s="14">
        <f t="shared" si="19"/>
        <v>13294478079.048399</v>
      </c>
      <c r="CS10" s="14">
        <f t="shared" si="19"/>
        <v>13294478079.048399</v>
      </c>
    </row>
    <row r="11" spans="1:97" x14ac:dyDescent="0.25">
      <c r="A11" s="1" t="s">
        <v>10</v>
      </c>
      <c r="B11" s="2"/>
      <c r="C11" s="23"/>
      <c r="D11" s="4"/>
      <c r="E11" s="4"/>
      <c r="F11" s="4"/>
      <c r="G11" s="4"/>
      <c r="H11" s="4"/>
      <c r="I11" s="4"/>
      <c r="J11" s="4"/>
      <c r="K11" s="4"/>
      <c r="L11" s="23"/>
      <c r="M11" s="4"/>
      <c r="N11" s="4"/>
      <c r="O11" s="23"/>
      <c r="P11" s="4"/>
      <c r="Q11" s="4"/>
      <c r="R11" s="4"/>
      <c r="S11" s="4"/>
      <c r="T11" s="23"/>
      <c r="U11" s="39"/>
      <c r="V11" s="39"/>
      <c r="W11" s="39"/>
      <c r="X11" s="39"/>
      <c r="Y11" s="23"/>
      <c r="Z11" s="39"/>
      <c r="AA11" s="39"/>
      <c r="AB11" s="39"/>
      <c r="AC11" s="39"/>
      <c r="AD11" s="4"/>
      <c r="AE11" s="4"/>
      <c r="AF11" s="4"/>
      <c r="AG11" s="4"/>
      <c r="AH11" s="4"/>
      <c r="AI11" s="4"/>
      <c r="AJ11" s="23"/>
      <c r="AK11" s="39"/>
      <c r="AL11" s="39"/>
      <c r="AM11" s="39"/>
      <c r="AN11" s="39"/>
      <c r="AO11" s="4"/>
      <c r="AP11" s="23"/>
      <c r="AQ11" s="4"/>
      <c r="AR11" s="4"/>
      <c r="AS11" s="4"/>
      <c r="AT11" s="4"/>
      <c r="AU11" s="4"/>
      <c r="AV11" s="23"/>
      <c r="AW11" s="4"/>
      <c r="AX11" s="4"/>
      <c r="AY11" s="16">
        <f>AY37-AZ37</f>
        <v>100000000</v>
      </c>
      <c r="AZ11" s="4"/>
      <c r="BA11" s="16">
        <f>BA40-BB40</f>
        <v>-10000000</v>
      </c>
      <c r="BB11" s="23">
        <f>BB40-BC40</f>
        <v>20000000</v>
      </c>
      <c r="BC11" s="4"/>
      <c r="BD11" s="16">
        <f>BD38-BE38</f>
        <v>-99999999.999999985</v>
      </c>
      <c r="BE11" s="16">
        <f>BE38-BF38</f>
        <v>200000000</v>
      </c>
      <c r="BF11" s="4"/>
      <c r="BG11" s="16">
        <f>BG39-BH39</f>
        <v>-10000000</v>
      </c>
      <c r="BH11" s="4">
        <f>BH39-BI39</f>
        <v>20000000</v>
      </c>
      <c r="BI11" s="23"/>
      <c r="BJ11" s="35">
        <f>BJ19-BK19</f>
        <v>-30000000.000000007</v>
      </c>
      <c r="BK11" s="4" t="s">
        <v>167</v>
      </c>
      <c r="BL11" s="35">
        <f t="shared" ref="BL11:CD11" si="20">BL19-BM19</f>
        <v>-30000000.000000007</v>
      </c>
      <c r="BM11" s="4">
        <v>0</v>
      </c>
      <c r="BN11" s="16">
        <f t="shared" si="20"/>
        <v>-80000000</v>
      </c>
      <c r="BO11" s="4">
        <v>0</v>
      </c>
      <c r="BP11" s="16">
        <f t="shared" si="20"/>
        <v>-30000000.000000007</v>
      </c>
      <c r="BQ11" s="35" t="s">
        <v>167</v>
      </c>
      <c r="BR11" s="16">
        <f t="shared" si="20"/>
        <v>-30000000.000000007</v>
      </c>
      <c r="BS11" s="35" t="s">
        <v>167</v>
      </c>
      <c r="BT11" s="16">
        <f t="shared" si="20"/>
        <v>-5000000</v>
      </c>
      <c r="BU11" s="16">
        <f t="shared" si="20"/>
        <v>10000000</v>
      </c>
      <c r="BV11" s="4">
        <v>0</v>
      </c>
      <c r="BW11" s="16">
        <f t="shared" si="20"/>
        <v>-5000000</v>
      </c>
      <c r="BX11" s="16">
        <f t="shared" si="20"/>
        <v>10000000</v>
      </c>
      <c r="BY11" s="4">
        <v>0</v>
      </c>
      <c r="BZ11" s="16">
        <f t="shared" si="20"/>
        <v>-10000000</v>
      </c>
      <c r="CA11" s="16">
        <f t="shared" si="20"/>
        <v>20000000</v>
      </c>
      <c r="CB11" s="4">
        <v>0</v>
      </c>
      <c r="CC11" s="16">
        <f t="shared" si="20"/>
        <v>-10000000</v>
      </c>
      <c r="CD11" s="16">
        <f t="shared" si="20"/>
        <v>20000000</v>
      </c>
      <c r="CE11" s="4">
        <v>0</v>
      </c>
      <c r="CF11" s="16">
        <f>CF19-CG19</f>
        <v>60000000.000000007</v>
      </c>
      <c r="CG11" s="4"/>
      <c r="CH11" s="16">
        <f>CH19-CI19</f>
        <v>10000000</v>
      </c>
      <c r="CI11" s="4"/>
      <c r="CJ11" s="35">
        <f>CJ19-CK19</f>
        <v>10000000</v>
      </c>
      <c r="CK11" s="4"/>
      <c r="CL11" s="35">
        <f>CL19-CM19</f>
        <v>20000000</v>
      </c>
      <c r="CM11" s="4"/>
      <c r="CN11" s="16">
        <f>CN19-CO19</f>
        <v>20000000</v>
      </c>
      <c r="CO11" s="4"/>
      <c r="CP11" s="16">
        <f>CP19-CQ19</f>
        <v>30000000.000000007</v>
      </c>
      <c r="CQ11" s="4"/>
      <c r="CR11" s="16">
        <f>CR19-CS19</f>
        <v>30000000.000000007</v>
      </c>
      <c r="CS11" s="4"/>
    </row>
    <row r="12" spans="1:97" x14ac:dyDescent="0.25">
      <c r="A12" t="s">
        <v>11</v>
      </c>
      <c r="B12" s="2" t="s">
        <v>12</v>
      </c>
      <c r="C12" s="23">
        <v>2679895283.7614999</v>
      </c>
      <c r="D12" s="4">
        <v>2679895283.7614999</v>
      </c>
      <c r="E12" s="4">
        <v>2679895283.7614999</v>
      </c>
      <c r="F12" s="4">
        <v>2679895283.7614999</v>
      </c>
      <c r="G12" s="4">
        <v>2679895283.7614999</v>
      </c>
      <c r="H12" s="4">
        <v>2679895283.7614999</v>
      </c>
      <c r="I12" s="4">
        <v>2679895283.7614999</v>
      </c>
      <c r="J12" s="4">
        <v>2679895283.7614999</v>
      </c>
      <c r="K12" s="4">
        <v>2679895283.7614999</v>
      </c>
      <c r="L12" s="23">
        <v>2679895283.7614999</v>
      </c>
      <c r="M12" s="4">
        <v>2679895283.7614999</v>
      </c>
      <c r="N12" s="4">
        <v>2679895283.7614999</v>
      </c>
      <c r="O12" s="23">
        <v>2679895283.7614999</v>
      </c>
      <c r="P12" s="4">
        <v>2679895283.7614999</v>
      </c>
      <c r="Q12" s="4">
        <v>2843974478.1875</v>
      </c>
      <c r="R12" s="4">
        <v>2843974478.1875</v>
      </c>
      <c r="S12" s="4">
        <v>2843974478.1875</v>
      </c>
      <c r="T12" s="23">
        <v>2843974478.1875</v>
      </c>
      <c r="U12" s="39">
        <v>2843974478.1875</v>
      </c>
      <c r="V12" s="39">
        <v>2843974478.1875</v>
      </c>
      <c r="W12" s="39">
        <v>2843974478.1875</v>
      </c>
      <c r="X12" s="39">
        <v>2843974478.1875</v>
      </c>
      <c r="Y12" s="23">
        <v>2843974478.1875</v>
      </c>
      <c r="Z12" s="39">
        <v>2843974478.1875</v>
      </c>
      <c r="AA12" s="39">
        <v>2843974478.1875</v>
      </c>
      <c r="AB12" s="39">
        <v>2843974478.1875</v>
      </c>
      <c r="AC12" s="39">
        <v>2843974478.1875</v>
      </c>
      <c r="AD12" s="4">
        <v>2843974478.1875</v>
      </c>
      <c r="AE12" s="4">
        <v>2843974478.1875</v>
      </c>
      <c r="AF12" s="4">
        <v>3549980275.8624997</v>
      </c>
      <c r="AG12" s="4">
        <v>3549980275.8624997</v>
      </c>
      <c r="AH12" s="4">
        <v>3549980275.8624997</v>
      </c>
      <c r="AI12" s="4">
        <v>3549980275.8624997</v>
      </c>
      <c r="AJ12" s="23">
        <v>3549980275.8624997</v>
      </c>
      <c r="AK12" s="39">
        <v>3549980275.8624997</v>
      </c>
      <c r="AL12" s="39">
        <v>3549980275.8624997</v>
      </c>
      <c r="AM12" s="39">
        <v>3549980275.8624997</v>
      </c>
      <c r="AN12" s="39">
        <v>3549980275.8624997</v>
      </c>
      <c r="AO12" s="4">
        <v>3549980275.8624997</v>
      </c>
      <c r="AP12" s="23">
        <v>3549980275.8624997</v>
      </c>
      <c r="AQ12" s="4">
        <v>3549980275.8624997</v>
      </c>
      <c r="AR12" s="4">
        <v>3549980275.8624997</v>
      </c>
      <c r="AS12" s="4">
        <v>3549980275.8624997</v>
      </c>
      <c r="AT12" s="4">
        <v>3549980275.8624997</v>
      </c>
      <c r="AU12" s="4">
        <v>3549980275.8624997</v>
      </c>
      <c r="AV12" s="23">
        <v>3549980275.8624997</v>
      </c>
      <c r="AW12" s="4">
        <v>3549980275.8624997</v>
      </c>
      <c r="AX12" s="4">
        <v>3549980275.8624997</v>
      </c>
      <c r="AY12" s="4">
        <v>3549980275.8624997</v>
      </c>
      <c r="AZ12" s="4">
        <v>3549980275.8624997</v>
      </c>
      <c r="BA12" s="4">
        <v>3549980275.8624997</v>
      </c>
      <c r="BB12" s="23">
        <v>3549980275.8624997</v>
      </c>
      <c r="BC12" s="4">
        <v>3549980275.8624997</v>
      </c>
      <c r="BD12" s="4">
        <v>3549980275.8624997</v>
      </c>
      <c r="BE12" s="4">
        <v>3549980275.8624997</v>
      </c>
      <c r="BF12" s="4">
        <v>3549980275.8624997</v>
      </c>
      <c r="BG12" s="4">
        <v>3644127997.5714998</v>
      </c>
      <c r="BH12" s="4">
        <v>3644127997.5714998</v>
      </c>
      <c r="BI12" s="23">
        <v>3644127997.5714998</v>
      </c>
      <c r="BJ12" s="35">
        <v>3644127997.5714998</v>
      </c>
      <c r="BK12" s="4">
        <v>3644127997.5714998</v>
      </c>
      <c r="BL12" s="35">
        <v>3644127997.5714998</v>
      </c>
      <c r="BM12" s="4">
        <v>3644127997.5714998</v>
      </c>
      <c r="BN12" s="4">
        <v>3644127997.5714998</v>
      </c>
      <c r="BO12" s="4">
        <v>3644127997.5714998</v>
      </c>
      <c r="BP12" s="4">
        <v>3644127997.5714998</v>
      </c>
      <c r="BQ12" s="35">
        <v>3644127997.5714998</v>
      </c>
      <c r="BR12" s="4">
        <v>3644127997.5714998</v>
      </c>
      <c r="BS12" s="35">
        <v>3644127997.5714998</v>
      </c>
      <c r="BT12" s="4">
        <v>3644127997.5714998</v>
      </c>
      <c r="BU12" s="4">
        <v>3644127997.5714998</v>
      </c>
      <c r="BV12" s="4">
        <v>3644127997.5714998</v>
      </c>
      <c r="BW12" s="4">
        <v>3644127997.5714998</v>
      </c>
      <c r="BX12" s="4">
        <v>3644127997.5714998</v>
      </c>
      <c r="BY12" s="4">
        <v>3644127997.5714998</v>
      </c>
      <c r="BZ12" s="4">
        <v>3644127997.5714998</v>
      </c>
      <c r="CA12" s="4">
        <v>3644127997.5714998</v>
      </c>
      <c r="CB12" s="4">
        <v>3644127997.5714998</v>
      </c>
      <c r="CC12" s="4">
        <v>3644127997.5714998</v>
      </c>
      <c r="CD12" s="4">
        <v>3644127997.5714998</v>
      </c>
      <c r="CE12" s="4">
        <v>3644127997.5714998</v>
      </c>
      <c r="CF12" s="4">
        <v>3644127997.5714998</v>
      </c>
      <c r="CG12" s="4">
        <v>3644127997.5714998</v>
      </c>
      <c r="CH12" s="4">
        <v>3644127997.5714998</v>
      </c>
      <c r="CI12" s="4">
        <v>3644127997.5714998</v>
      </c>
      <c r="CJ12" s="35">
        <v>3644127997.5714998</v>
      </c>
      <c r="CK12" s="4">
        <v>3644127997.5714998</v>
      </c>
      <c r="CL12" s="35">
        <v>3644127997.5714998</v>
      </c>
      <c r="CM12" s="4">
        <v>3644127997.5714998</v>
      </c>
      <c r="CN12" s="4">
        <v>3644127997.5714998</v>
      </c>
      <c r="CO12" s="4">
        <v>3644127997.5714998</v>
      </c>
      <c r="CP12" s="4">
        <v>3644127997.5714998</v>
      </c>
      <c r="CQ12" s="4">
        <v>3644127997.5714998</v>
      </c>
      <c r="CR12" s="4">
        <v>3644127997.5714998</v>
      </c>
      <c r="CS12" s="4">
        <v>3644127997.5714998</v>
      </c>
    </row>
    <row r="13" spans="1:97" x14ac:dyDescent="0.25">
      <c r="A13" t="s">
        <v>13</v>
      </c>
      <c r="B13" s="2" t="s">
        <v>14</v>
      </c>
      <c r="C13" s="23">
        <v>2906779706.0244994</v>
      </c>
      <c r="D13" s="4">
        <v>2906779706.0244994</v>
      </c>
      <c r="E13" s="4">
        <v>2906779706.0244994</v>
      </c>
      <c r="F13" s="4">
        <v>2906779706.0244994</v>
      </c>
      <c r="G13" s="4">
        <v>2906779706.0244994</v>
      </c>
      <c r="H13" s="4">
        <v>2906779706.0244994</v>
      </c>
      <c r="I13" s="4">
        <v>2906779706.0244994</v>
      </c>
      <c r="J13" s="4">
        <v>2906779706.0244994</v>
      </c>
      <c r="K13" s="4">
        <v>2906779706.0244994</v>
      </c>
      <c r="L13" s="23">
        <v>2906779706.0244994</v>
      </c>
      <c r="M13" s="4">
        <v>2906779706.0244994</v>
      </c>
      <c r="N13" s="4">
        <v>2906779706.0244994</v>
      </c>
      <c r="O13" s="23">
        <v>2906779706.0244994</v>
      </c>
      <c r="P13" s="4">
        <v>2906779706.0244994</v>
      </c>
      <c r="Q13" s="4">
        <v>3072095579.5465002</v>
      </c>
      <c r="R13" s="4">
        <v>3072095579.5465002</v>
      </c>
      <c r="S13" s="4">
        <v>3072095579.5465002</v>
      </c>
      <c r="T13" s="23">
        <v>3072095579.5465002</v>
      </c>
      <c r="U13" s="39">
        <v>3072095579.5465002</v>
      </c>
      <c r="V13" s="39">
        <v>3072095579.5465002</v>
      </c>
      <c r="W13" s="39">
        <v>3072095579.5465002</v>
      </c>
      <c r="X13" s="39">
        <v>3072095579.5465002</v>
      </c>
      <c r="Y13" s="23">
        <v>3072095579.5465002</v>
      </c>
      <c r="Z13" s="39">
        <v>3072095579.5465002</v>
      </c>
      <c r="AA13" s="39">
        <v>3072095579.5465002</v>
      </c>
      <c r="AB13" s="39">
        <v>3072095579.5465002</v>
      </c>
      <c r="AC13" s="39">
        <v>3072095579.5465002</v>
      </c>
      <c r="AD13" s="4">
        <v>3072095579.5465002</v>
      </c>
      <c r="AE13" s="4">
        <v>3072095579.5465002</v>
      </c>
      <c r="AF13" s="4">
        <v>3779586778.4564996</v>
      </c>
      <c r="AG13" s="4">
        <v>3779586778.4564996</v>
      </c>
      <c r="AH13" s="4">
        <v>3779586778.4564996</v>
      </c>
      <c r="AI13" s="4">
        <v>3779586778.4564996</v>
      </c>
      <c r="AJ13" s="23">
        <v>3779586778.4564996</v>
      </c>
      <c r="AK13" s="39">
        <v>3779586778.4564996</v>
      </c>
      <c r="AL13" s="39">
        <v>3779586778.4564996</v>
      </c>
      <c r="AM13" s="39">
        <v>3779586778.4564996</v>
      </c>
      <c r="AN13" s="39">
        <v>3779586778.4564996</v>
      </c>
      <c r="AO13" s="4">
        <v>3779586778.4564996</v>
      </c>
      <c r="AP13" s="23">
        <v>3779586778.4564996</v>
      </c>
      <c r="AQ13" s="4">
        <v>3779586778.4564996</v>
      </c>
      <c r="AR13" s="4">
        <v>3779586778.4564996</v>
      </c>
      <c r="AS13" s="4">
        <v>3779586778.4564996</v>
      </c>
      <c r="AT13" s="4">
        <v>3779586778.4564996</v>
      </c>
      <c r="AU13" s="4">
        <v>3779586778.4564996</v>
      </c>
      <c r="AV13" s="23">
        <v>3779586778.4564996</v>
      </c>
      <c r="AW13" s="4">
        <v>3779586778.4564996</v>
      </c>
      <c r="AX13" s="4">
        <v>3779586778.4564996</v>
      </c>
      <c r="AY13" s="4">
        <v>3779586778.4564996</v>
      </c>
      <c r="AZ13" s="4">
        <v>3779586778.4564996</v>
      </c>
      <c r="BA13" s="4">
        <v>3779586778.4564996</v>
      </c>
      <c r="BB13" s="23">
        <v>3779586778.4564996</v>
      </c>
      <c r="BC13" s="4">
        <v>3779586778.4564996</v>
      </c>
      <c r="BD13" s="4">
        <v>3779586778.4564996</v>
      </c>
      <c r="BE13" s="4">
        <v>3779586778.4564996</v>
      </c>
      <c r="BF13" s="4">
        <v>3779586778.4564996</v>
      </c>
      <c r="BG13" s="4">
        <v>3873609438.0054998</v>
      </c>
      <c r="BH13" s="4">
        <v>3873609438.0054998</v>
      </c>
      <c r="BI13" s="23">
        <v>3873609438.0054998</v>
      </c>
      <c r="BJ13" s="35">
        <v>3873609438.0054998</v>
      </c>
      <c r="BK13" s="4">
        <v>3873609438.0054998</v>
      </c>
      <c r="BL13" s="35">
        <v>3873609438.0054998</v>
      </c>
      <c r="BM13" s="4">
        <v>3873609438.0054998</v>
      </c>
      <c r="BN13" s="4">
        <v>3873609438.0054998</v>
      </c>
      <c r="BO13" s="4">
        <v>3873609438.0054998</v>
      </c>
      <c r="BP13" s="4">
        <v>3873609438.0054998</v>
      </c>
      <c r="BQ13" s="35">
        <v>3873609438.0054998</v>
      </c>
      <c r="BR13" s="4">
        <v>3873609438.0054998</v>
      </c>
      <c r="BS13" s="35">
        <v>3873609438.0054998</v>
      </c>
      <c r="BT13" s="4">
        <v>3873609438.0054998</v>
      </c>
      <c r="BU13" s="4">
        <v>3873609438.0054998</v>
      </c>
      <c r="BV13" s="4">
        <v>3873609438.0054998</v>
      </c>
      <c r="BW13" s="4">
        <v>3873609438.0054998</v>
      </c>
      <c r="BX13" s="4">
        <v>3873609438.0054998</v>
      </c>
      <c r="BY13" s="4">
        <v>3873609438.0054998</v>
      </c>
      <c r="BZ13" s="4">
        <v>3873609438.0054998</v>
      </c>
      <c r="CA13" s="4">
        <v>3873609438.0054998</v>
      </c>
      <c r="CB13" s="4">
        <v>3873609438.0054998</v>
      </c>
      <c r="CC13" s="4">
        <v>3873609438.0054998</v>
      </c>
      <c r="CD13" s="4">
        <v>3873609438.0054998</v>
      </c>
      <c r="CE13" s="4">
        <v>3873609438.0054998</v>
      </c>
      <c r="CF13" s="4">
        <v>3873609438.0054998</v>
      </c>
      <c r="CG13" s="4">
        <v>3873609438.0054998</v>
      </c>
      <c r="CH13" s="4">
        <v>3873609438.0054998</v>
      </c>
      <c r="CI13" s="4">
        <v>3873609438.0054998</v>
      </c>
      <c r="CJ13" s="35">
        <v>3873609438.0054998</v>
      </c>
      <c r="CK13" s="4">
        <v>3873609438.0054998</v>
      </c>
      <c r="CL13" s="35">
        <v>3873609438.0054998</v>
      </c>
      <c r="CM13" s="4">
        <v>3873609438.0054998</v>
      </c>
      <c r="CN13" s="4">
        <v>3873609438.0054998</v>
      </c>
      <c r="CO13" s="4">
        <v>3873609438.0054998</v>
      </c>
      <c r="CP13" s="4">
        <v>3873609438.0054998</v>
      </c>
      <c r="CQ13" s="4">
        <v>3873609438.0054998</v>
      </c>
      <c r="CR13" s="4">
        <v>3873609438.0054998</v>
      </c>
      <c r="CS13" s="4">
        <v>3873609438.0054998</v>
      </c>
    </row>
    <row r="14" spans="1:97" x14ac:dyDescent="0.25">
      <c r="A14" t="s">
        <v>15</v>
      </c>
      <c r="B14" s="2" t="s">
        <v>16</v>
      </c>
      <c r="C14" s="23">
        <v>2787861797.0139995</v>
      </c>
      <c r="D14" s="4">
        <v>2787861797.0139995</v>
      </c>
      <c r="E14" s="4">
        <v>2787861797.0139995</v>
      </c>
      <c r="F14" s="4">
        <v>2787861797.0139995</v>
      </c>
      <c r="G14" s="4">
        <v>2787861797.0139995</v>
      </c>
      <c r="H14" s="4">
        <v>2787861797.0139995</v>
      </c>
      <c r="I14" s="4">
        <v>2787861797.0139995</v>
      </c>
      <c r="J14" s="4">
        <v>2787861797.0139995</v>
      </c>
      <c r="K14" s="4">
        <v>2787861797.0139995</v>
      </c>
      <c r="L14" s="23">
        <v>2787861797.0139995</v>
      </c>
      <c r="M14" s="4">
        <v>2787861797.0139995</v>
      </c>
      <c r="N14" s="4">
        <v>2787861797.0139995</v>
      </c>
      <c r="O14" s="23">
        <v>2787861797.0139995</v>
      </c>
      <c r="P14" s="4">
        <v>2787861797.0139995</v>
      </c>
      <c r="Q14" s="4">
        <v>2953493316.79</v>
      </c>
      <c r="R14" s="4">
        <v>2953493316.79</v>
      </c>
      <c r="S14" s="4">
        <v>2953493316.79</v>
      </c>
      <c r="T14" s="23">
        <v>2953493316.79</v>
      </c>
      <c r="U14" s="39">
        <v>2953493316.79</v>
      </c>
      <c r="V14" s="39">
        <v>2953493316.79</v>
      </c>
      <c r="W14" s="39">
        <v>2953493316.79</v>
      </c>
      <c r="X14" s="39">
        <v>2953493316.79</v>
      </c>
      <c r="Y14" s="23">
        <v>2953493316.79</v>
      </c>
      <c r="Z14" s="39">
        <v>2953493316.79</v>
      </c>
      <c r="AA14" s="39">
        <v>2953493316.79</v>
      </c>
      <c r="AB14" s="39">
        <v>2953493316.79</v>
      </c>
      <c r="AC14" s="39">
        <v>2953493316.79</v>
      </c>
      <c r="AD14" s="4">
        <v>2953493316.79</v>
      </c>
      <c r="AE14" s="4">
        <v>2953493316.79</v>
      </c>
      <c r="AF14" s="4">
        <v>3660668977.4325004</v>
      </c>
      <c r="AG14" s="4">
        <v>3660668977.4325004</v>
      </c>
      <c r="AH14" s="4">
        <v>3660668977.4325004</v>
      </c>
      <c r="AI14" s="4">
        <v>3660668977.4325004</v>
      </c>
      <c r="AJ14" s="23">
        <v>3660668977.4325004</v>
      </c>
      <c r="AK14" s="39">
        <v>3660668977.4325004</v>
      </c>
      <c r="AL14" s="39">
        <v>3660668977.4325004</v>
      </c>
      <c r="AM14" s="39">
        <v>3660668977.4325004</v>
      </c>
      <c r="AN14" s="39">
        <v>3660668977.4325004</v>
      </c>
      <c r="AO14" s="4">
        <v>3660668977.4325004</v>
      </c>
      <c r="AP14" s="23">
        <v>3660668977.4325004</v>
      </c>
      <c r="AQ14" s="4">
        <v>3660668977.4325004</v>
      </c>
      <c r="AR14" s="4">
        <v>3660668977.4325004</v>
      </c>
      <c r="AS14" s="4">
        <v>3660668977.4325004</v>
      </c>
      <c r="AT14" s="4">
        <v>3660668977.4325004</v>
      </c>
      <c r="AU14" s="4">
        <v>3660668977.4325004</v>
      </c>
      <c r="AV14" s="23">
        <v>3660668977.4325004</v>
      </c>
      <c r="AW14" s="4">
        <v>3660668977.4325004</v>
      </c>
      <c r="AX14" s="4">
        <v>3660668977.4325004</v>
      </c>
      <c r="AY14" s="4">
        <v>3660668977.4325004</v>
      </c>
      <c r="AZ14" s="4">
        <v>3660668977.4325004</v>
      </c>
      <c r="BA14" s="4">
        <v>3660668977.4325004</v>
      </c>
      <c r="BB14" s="23">
        <v>3660668977.4325004</v>
      </c>
      <c r="BC14" s="4">
        <v>3660668977.4325004</v>
      </c>
      <c r="BD14" s="4">
        <v>3660668977.4325004</v>
      </c>
      <c r="BE14" s="4">
        <v>3660668977.4325004</v>
      </c>
      <c r="BF14" s="4">
        <v>3660668977.4325004</v>
      </c>
      <c r="BG14" s="4">
        <v>3753077355.8815002</v>
      </c>
      <c r="BH14" s="4">
        <v>3753077355.8815002</v>
      </c>
      <c r="BI14" s="23">
        <v>3753077355.8815002</v>
      </c>
      <c r="BJ14" s="35">
        <v>3753077355.8815002</v>
      </c>
      <c r="BK14" s="4">
        <v>3753077355.8815002</v>
      </c>
      <c r="BL14" s="35">
        <v>3753077355.8815002</v>
      </c>
      <c r="BM14" s="4">
        <v>3753077355.8815002</v>
      </c>
      <c r="BN14" s="4">
        <v>3753077355.8815002</v>
      </c>
      <c r="BO14" s="4">
        <v>3753077355.8815002</v>
      </c>
      <c r="BP14" s="4">
        <v>3753077355.8815002</v>
      </c>
      <c r="BQ14" s="35">
        <v>3753077355.8815002</v>
      </c>
      <c r="BR14" s="4">
        <v>3753077355.8815002</v>
      </c>
      <c r="BS14" s="35">
        <v>3753077355.8815002</v>
      </c>
      <c r="BT14" s="4">
        <v>3753077355.8815002</v>
      </c>
      <c r="BU14" s="4">
        <v>3753077355.8815002</v>
      </c>
      <c r="BV14" s="4">
        <v>3753077355.8815002</v>
      </c>
      <c r="BW14" s="4">
        <v>3753077355.8815002</v>
      </c>
      <c r="BX14" s="4">
        <v>3753077355.8815002</v>
      </c>
      <c r="BY14" s="4">
        <v>3753077355.8815002</v>
      </c>
      <c r="BZ14" s="4">
        <v>3753077355.8815002</v>
      </c>
      <c r="CA14" s="4">
        <v>3753077355.8815002</v>
      </c>
      <c r="CB14" s="4">
        <v>3753077355.8815002</v>
      </c>
      <c r="CC14" s="4">
        <v>3753077355.8815002</v>
      </c>
      <c r="CD14" s="4">
        <v>3753077355.8815002</v>
      </c>
      <c r="CE14" s="4">
        <v>3753077355.8815002</v>
      </c>
      <c r="CF14" s="4">
        <v>3753077355.8815002</v>
      </c>
      <c r="CG14" s="4">
        <v>3753077355.8815002</v>
      </c>
      <c r="CH14" s="4">
        <v>3753077355.8815002</v>
      </c>
      <c r="CI14" s="4">
        <v>3753077355.8815002</v>
      </c>
      <c r="CJ14" s="35">
        <v>3753077355.8815002</v>
      </c>
      <c r="CK14" s="4">
        <v>3753077355.8815002</v>
      </c>
      <c r="CL14" s="35">
        <v>3753077355.8815002</v>
      </c>
      <c r="CM14" s="4">
        <v>3753077355.8815002</v>
      </c>
      <c r="CN14" s="4">
        <v>3753077355.8815002</v>
      </c>
      <c r="CO14" s="4">
        <v>3753077355.8815002</v>
      </c>
      <c r="CP14" s="4">
        <v>3753077355.8815002</v>
      </c>
      <c r="CQ14" s="4">
        <v>3753077355.8815002</v>
      </c>
      <c r="CR14" s="4">
        <v>3753077355.8815002</v>
      </c>
      <c r="CS14" s="4">
        <v>3753077355.8815002</v>
      </c>
    </row>
    <row r="15" spans="1:97" x14ac:dyDescent="0.25">
      <c r="C15" s="23"/>
      <c r="D15" s="4"/>
      <c r="E15" s="4"/>
      <c r="F15" s="4"/>
      <c r="G15" s="4"/>
      <c r="H15" s="4"/>
      <c r="I15" s="4"/>
      <c r="J15" s="4"/>
      <c r="K15" s="4"/>
      <c r="L15" s="23"/>
      <c r="M15" s="4"/>
      <c r="N15" s="4"/>
      <c r="O15" s="23"/>
      <c r="P15" s="4"/>
      <c r="Q15" s="4"/>
      <c r="R15" s="4"/>
      <c r="S15" s="4"/>
      <c r="T15" s="23"/>
      <c r="U15" s="39"/>
      <c r="V15" s="39"/>
      <c r="W15" s="39"/>
      <c r="X15" s="39"/>
      <c r="Y15" s="23"/>
      <c r="Z15" s="39"/>
      <c r="AA15" s="39"/>
      <c r="AB15" s="39"/>
      <c r="AC15" s="39"/>
      <c r="AD15" s="4"/>
      <c r="AE15" s="4"/>
      <c r="AF15" s="4"/>
      <c r="AG15" s="4"/>
      <c r="AH15" s="4"/>
      <c r="AI15" s="4"/>
      <c r="AJ15" s="23"/>
      <c r="AK15" s="39"/>
      <c r="AL15" s="39"/>
      <c r="AM15" s="39"/>
      <c r="AN15" s="39"/>
      <c r="AO15" s="4"/>
      <c r="AP15" s="23"/>
      <c r="AQ15" s="4"/>
      <c r="AR15" s="4"/>
      <c r="AS15" s="4"/>
      <c r="AT15" s="4"/>
      <c r="AU15" s="4"/>
      <c r="AV15" s="23"/>
      <c r="AW15" s="4"/>
      <c r="AX15" s="4"/>
      <c r="AY15" s="4"/>
      <c r="AZ15" s="4"/>
      <c r="BA15" s="4"/>
      <c r="BB15" s="23"/>
      <c r="BC15" s="4"/>
      <c r="BD15" s="4"/>
      <c r="BE15" s="4"/>
      <c r="BF15" s="4"/>
      <c r="BG15" s="4"/>
      <c r="BH15" s="4"/>
      <c r="BI15" s="23"/>
      <c r="BJ15" s="35"/>
      <c r="BK15" s="4"/>
      <c r="BL15" s="35"/>
      <c r="BM15" s="4"/>
      <c r="BN15" s="4"/>
      <c r="BO15" s="4"/>
      <c r="BP15" s="4"/>
      <c r="BQ15" s="35"/>
      <c r="BR15" s="4"/>
      <c r="BS15" s="35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35"/>
      <c r="CK15" s="4"/>
      <c r="CL15" s="35"/>
      <c r="CM15" s="4"/>
      <c r="CN15" s="4"/>
      <c r="CO15" s="4"/>
      <c r="CP15" s="4"/>
      <c r="CQ15" s="4"/>
      <c r="CR15" s="4"/>
      <c r="CS15" s="4"/>
    </row>
    <row r="16" spans="1:97" x14ac:dyDescent="0.25">
      <c r="A16" s="1" t="s">
        <v>17</v>
      </c>
      <c r="B16" s="2" t="s">
        <v>18</v>
      </c>
      <c r="C16" s="23">
        <v>2195721603.6103001</v>
      </c>
      <c r="D16" s="4">
        <v>2195721603.6103001</v>
      </c>
      <c r="E16" s="4">
        <v>2195721603.6103001</v>
      </c>
      <c r="F16" s="4">
        <v>2195721603.6103001</v>
      </c>
      <c r="G16" s="4">
        <v>2195721603.6103001</v>
      </c>
      <c r="H16" s="4">
        <v>2195721603.6103001</v>
      </c>
      <c r="I16" s="4">
        <v>2195721603.6103001</v>
      </c>
      <c r="J16" s="4">
        <v>2195721603.6103001</v>
      </c>
      <c r="K16" s="4">
        <v>2195721603.6103001</v>
      </c>
      <c r="L16" s="23">
        <v>2195721603.6103001</v>
      </c>
      <c r="M16" s="4">
        <v>2195721603.6103001</v>
      </c>
      <c r="N16" s="4">
        <v>2195721603.6103001</v>
      </c>
      <c r="O16" s="23">
        <v>2195721603.6103001</v>
      </c>
      <c r="P16" s="4">
        <v>2195721603.6103001</v>
      </c>
      <c r="Q16" s="4">
        <v>2105215711.7802696</v>
      </c>
      <c r="R16" s="4">
        <v>2105215711.7802696</v>
      </c>
      <c r="S16" s="4">
        <v>2105215711.7802696</v>
      </c>
      <c r="T16" s="23">
        <v>2105215711.7802696</v>
      </c>
      <c r="U16" s="39">
        <v>2105215711.7802696</v>
      </c>
      <c r="V16" s="39">
        <v>2105215711.7802696</v>
      </c>
      <c r="W16" s="39">
        <v>2105215711.7802696</v>
      </c>
      <c r="X16" s="39">
        <v>2105215711.7802696</v>
      </c>
      <c r="Y16" s="23">
        <v>2105215711.7802696</v>
      </c>
      <c r="Z16" s="39">
        <v>2105215711.7802696</v>
      </c>
      <c r="AA16" s="39">
        <v>2105215711.7802696</v>
      </c>
      <c r="AB16" s="39">
        <v>2105215711.7802696</v>
      </c>
      <c r="AC16" s="39">
        <v>2105215711.7802696</v>
      </c>
      <c r="AD16" s="4">
        <v>2105215711.7802696</v>
      </c>
      <c r="AE16" s="4">
        <v>2105215711.7802696</v>
      </c>
      <c r="AF16" s="4">
        <v>1934682756.6183243</v>
      </c>
      <c r="AG16" s="4">
        <v>1934682756.6183243</v>
      </c>
      <c r="AH16" s="4">
        <v>1934682756.6183243</v>
      </c>
      <c r="AI16" s="4">
        <v>1934682756.6183243</v>
      </c>
      <c r="AJ16" s="23">
        <v>1934682756.6183243</v>
      </c>
      <c r="AK16" s="39">
        <v>1934682756.6183243</v>
      </c>
      <c r="AL16" s="39">
        <v>1934682756.6183243</v>
      </c>
      <c r="AM16" s="39">
        <v>1934682756.6183243</v>
      </c>
      <c r="AN16" s="39">
        <v>1934682756.6183243</v>
      </c>
      <c r="AO16" s="4">
        <v>1934682756.6183243</v>
      </c>
      <c r="AP16" s="23">
        <v>1934682756.6183243</v>
      </c>
      <c r="AQ16" s="4">
        <v>1934682756.6183243</v>
      </c>
      <c r="AR16" s="4">
        <v>1934682756.6183243</v>
      </c>
      <c r="AS16" s="4">
        <v>1934682756.6183243</v>
      </c>
      <c r="AT16" s="4">
        <v>1934682756.6183243</v>
      </c>
      <c r="AU16" s="4">
        <v>1934682756.6183243</v>
      </c>
      <c r="AV16" s="23">
        <v>1934682756.6183243</v>
      </c>
      <c r="AW16" s="4">
        <v>1934682756.6183243</v>
      </c>
      <c r="AX16" s="4">
        <v>1934682756.6183243</v>
      </c>
      <c r="AY16" s="4">
        <v>1934682756.6183243</v>
      </c>
      <c r="AZ16" s="4">
        <v>1934682756.6183243</v>
      </c>
      <c r="BA16" s="4">
        <v>1934682756.6183243</v>
      </c>
      <c r="BB16" s="23">
        <v>1934682756.6183243</v>
      </c>
      <c r="BC16" s="4">
        <v>1934682756.6183243</v>
      </c>
      <c r="BD16" s="4">
        <v>1934682756.6183243</v>
      </c>
      <c r="BE16" s="4">
        <v>1934682756.6183243</v>
      </c>
      <c r="BF16" s="4">
        <v>1934682756.6183243</v>
      </c>
      <c r="BG16" s="4">
        <v>1951249620.7024593</v>
      </c>
      <c r="BH16" s="4">
        <v>1951249620.7024593</v>
      </c>
      <c r="BI16" s="23">
        <v>1951249620.7024593</v>
      </c>
      <c r="BJ16" s="35">
        <v>1951249620.7024593</v>
      </c>
      <c r="BK16" s="4">
        <v>1951249620.7024593</v>
      </c>
      <c r="BL16" s="35">
        <v>1951249620.7024593</v>
      </c>
      <c r="BM16" s="4">
        <v>1951249620.7024593</v>
      </c>
      <c r="BN16" s="4">
        <v>1951249620.7024593</v>
      </c>
      <c r="BO16" s="4">
        <v>1951249620.7024593</v>
      </c>
      <c r="BP16" s="4">
        <v>1951249620.7024593</v>
      </c>
      <c r="BQ16" s="35">
        <v>1951249620.7024593</v>
      </c>
      <c r="BR16" s="4">
        <v>1951249620.7024593</v>
      </c>
      <c r="BS16" s="35">
        <v>1951249620.7024593</v>
      </c>
      <c r="BT16" s="4">
        <v>1951249620.7024593</v>
      </c>
      <c r="BU16" s="4">
        <v>1951249620.7024593</v>
      </c>
      <c r="BV16" s="4">
        <v>1951249620.7024593</v>
      </c>
      <c r="BW16" s="4">
        <v>1951249620.7024593</v>
      </c>
      <c r="BX16" s="4">
        <v>1951249620.7024593</v>
      </c>
      <c r="BY16" s="4">
        <v>1951249620.7024593</v>
      </c>
      <c r="BZ16" s="4">
        <v>1951249620.7024593</v>
      </c>
      <c r="CA16" s="4">
        <v>1951249620.7024593</v>
      </c>
      <c r="CB16" s="4">
        <v>1951249620.7024593</v>
      </c>
      <c r="CC16" s="4">
        <v>1951249620.7024593</v>
      </c>
      <c r="CD16" s="4">
        <v>1951249620.7024593</v>
      </c>
      <c r="CE16" s="4">
        <v>1951249620.7024593</v>
      </c>
      <c r="CF16" s="4">
        <v>1951249620.7024593</v>
      </c>
      <c r="CG16" s="4">
        <v>1951249620.7024593</v>
      </c>
      <c r="CH16" s="4">
        <v>1951249620.7024593</v>
      </c>
      <c r="CI16" s="4">
        <v>1951249620.7024593</v>
      </c>
      <c r="CJ16" s="35">
        <v>1951249620.7024593</v>
      </c>
      <c r="CK16" s="4">
        <v>1951249620.7024593</v>
      </c>
      <c r="CL16" s="35">
        <v>1951249620.7024593</v>
      </c>
      <c r="CM16" s="4">
        <v>1951249620.7024593</v>
      </c>
      <c r="CN16" s="4">
        <v>1951249620.7024593</v>
      </c>
      <c r="CO16" s="4">
        <v>1951249620.7024593</v>
      </c>
      <c r="CP16" s="4">
        <v>1951249620.7024593</v>
      </c>
      <c r="CQ16" s="4">
        <v>1951249620.7024593</v>
      </c>
      <c r="CR16" s="4">
        <v>1951249620.7024593</v>
      </c>
      <c r="CS16" s="4">
        <v>1951249620.7024593</v>
      </c>
    </row>
    <row r="17" spans="1:97" x14ac:dyDescent="0.25">
      <c r="C17" s="23"/>
      <c r="D17" s="4"/>
      <c r="E17" s="4"/>
      <c r="F17" s="4"/>
      <c r="G17" s="4"/>
      <c r="H17" s="4"/>
      <c r="I17" s="4"/>
      <c r="J17" s="4"/>
      <c r="K17" s="4"/>
      <c r="L17" s="23"/>
      <c r="M17" s="4"/>
      <c r="N17" s="4"/>
      <c r="O17" s="23"/>
      <c r="P17" s="4"/>
      <c r="Q17" s="4"/>
      <c r="R17" s="4"/>
      <c r="S17" s="4"/>
      <c r="T17" s="23"/>
      <c r="U17" s="39"/>
      <c r="V17" s="39"/>
      <c r="W17" s="39"/>
      <c r="X17" s="39"/>
      <c r="Y17" s="23"/>
      <c r="Z17" s="39"/>
      <c r="AA17" s="39"/>
      <c r="AB17" s="39"/>
      <c r="AC17" s="39"/>
      <c r="AD17" s="4"/>
      <c r="AE17" s="4"/>
      <c r="AF17" s="4"/>
      <c r="AG17" s="4"/>
      <c r="AH17" s="4"/>
      <c r="AI17" s="4"/>
      <c r="AJ17" s="23"/>
      <c r="AK17" s="39"/>
      <c r="AL17" s="39"/>
      <c r="AM17" s="39"/>
      <c r="AN17" s="39"/>
      <c r="AO17" s="4"/>
      <c r="AP17" s="23"/>
      <c r="AQ17" s="4"/>
      <c r="AR17" s="4"/>
      <c r="AS17" s="4"/>
      <c r="AT17" s="4"/>
      <c r="AU17" s="4"/>
      <c r="AV17" s="23"/>
      <c r="AW17" s="4"/>
      <c r="AX17" s="4"/>
      <c r="AY17" s="4"/>
      <c r="AZ17" s="4"/>
      <c r="BA17" s="4"/>
      <c r="BB17" s="23"/>
      <c r="BC17" s="4"/>
      <c r="BD17" s="4"/>
      <c r="BE17" s="4"/>
      <c r="BF17" s="4"/>
      <c r="BG17" s="4"/>
      <c r="BH17" s="4"/>
      <c r="BI17" s="23"/>
      <c r="BJ17" s="35"/>
      <c r="BK17" s="4"/>
      <c r="BL17" s="35"/>
      <c r="BM17" s="4"/>
      <c r="BN17" s="4"/>
      <c r="BO17" s="4"/>
      <c r="BP17" s="4"/>
      <c r="BQ17" s="35"/>
      <c r="BR17" s="4"/>
      <c r="BS17" s="35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35"/>
      <c r="CK17" s="4"/>
      <c r="CL17" s="35"/>
      <c r="CM17" s="4"/>
      <c r="CN17" s="4"/>
      <c r="CO17" s="4"/>
      <c r="CP17" s="4"/>
      <c r="CQ17" s="4"/>
      <c r="CR17" s="4"/>
      <c r="CS17" s="4"/>
    </row>
    <row r="18" spans="1:97" x14ac:dyDescent="0.25">
      <c r="A18" s="1" t="s">
        <v>19</v>
      </c>
      <c r="B18" s="2" t="s">
        <v>20</v>
      </c>
      <c r="C18" s="23">
        <v>1517011276.5700002</v>
      </c>
      <c r="D18" s="4">
        <v>1517011276.5700002</v>
      </c>
      <c r="E18" s="4">
        <v>1517011276.5700002</v>
      </c>
      <c r="F18" s="4">
        <v>1517011276.5700002</v>
      </c>
      <c r="G18" s="4">
        <v>1517011276.5700002</v>
      </c>
      <c r="H18" s="4">
        <v>1517011276.5700002</v>
      </c>
      <c r="I18" s="4">
        <v>1517011276.5700002</v>
      </c>
      <c r="J18" s="4">
        <v>1517011276.5700002</v>
      </c>
      <c r="K18" s="4">
        <v>1517011276.5700002</v>
      </c>
      <c r="L18" s="23">
        <v>1517011276.5700002</v>
      </c>
      <c r="M18" s="4">
        <v>1517011276.5700002</v>
      </c>
      <c r="N18" s="4">
        <v>1517011276.5700002</v>
      </c>
      <c r="O18" s="23">
        <v>1517011276.5700002</v>
      </c>
      <c r="P18" s="4">
        <v>1517011276.5700002</v>
      </c>
      <c r="Q18" s="4">
        <v>1156264606.9399998</v>
      </c>
      <c r="R18" s="4">
        <v>1156264606.9399998</v>
      </c>
      <c r="S18" s="4">
        <v>1156264606.9399998</v>
      </c>
      <c r="T18" s="23">
        <v>1156264606.9399998</v>
      </c>
      <c r="U18" s="39">
        <v>1156264606.9399998</v>
      </c>
      <c r="V18" s="39">
        <v>1156264606.9399998</v>
      </c>
      <c r="W18" s="39">
        <v>1156264606.9399998</v>
      </c>
      <c r="X18" s="39">
        <v>1156264606.9399998</v>
      </c>
      <c r="Y18" s="23">
        <v>1156264606.9399998</v>
      </c>
      <c r="Z18" s="39">
        <v>1156264606.9399998</v>
      </c>
      <c r="AA18" s="39">
        <v>1156264606.9399998</v>
      </c>
      <c r="AB18" s="39">
        <v>1156264606.9399998</v>
      </c>
      <c r="AC18" s="39">
        <v>1156264606.9399998</v>
      </c>
      <c r="AD18" s="4">
        <v>1156264606.9399998</v>
      </c>
      <c r="AE18" s="4">
        <v>1156264606.9399998</v>
      </c>
      <c r="AF18" s="4">
        <v>1159869569.6900001</v>
      </c>
      <c r="AG18" s="4">
        <v>1159869569.6900001</v>
      </c>
      <c r="AH18" s="4">
        <v>1159869569.6900001</v>
      </c>
      <c r="AI18" s="4">
        <v>1159869569.6900001</v>
      </c>
      <c r="AJ18" s="23">
        <v>1159869569.6900001</v>
      </c>
      <c r="AK18" s="39">
        <v>1159869569.6900001</v>
      </c>
      <c r="AL18" s="39">
        <v>1159869569.6900001</v>
      </c>
      <c r="AM18" s="39">
        <v>1159869569.6900001</v>
      </c>
      <c r="AN18" s="39">
        <v>1159869569.6900001</v>
      </c>
      <c r="AO18" s="4">
        <v>1159869569.6900001</v>
      </c>
      <c r="AP18" s="23">
        <v>1159869569.6900001</v>
      </c>
      <c r="AQ18" s="4">
        <v>1159869569.6900001</v>
      </c>
      <c r="AR18" s="4">
        <v>1159869569.6900001</v>
      </c>
      <c r="AS18" s="4">
        <v>1159869569.6900001</v>
      </c>
      <c r="AT18" s="4">
        <v>1159869569.6900001</v>
      </c>
      <c r="AU18" s="11">
        <v>1159869569.6900001</v>
      </c>
      <c r="AV18" s="23">
        <v>1159869569.6900001</v>
      </c>
      <c r="AW18" s="11">
        <v>1159869569.6900001</v>
      </c>
      <c r="AX18" s="4">
        <v>1159869569.6900001</v>
      </c>
      <c r="AY18" s="4">
        <v>1159869569.6900001</v>
      </c>
      <c r="AZ18" s="4">
        <v>1159869569.6900001</v>
      </c>
      <c r="BA18" s="4">
        <v>1159869569.6900001</v>
      </c>
      <c r="BB18" s="23">
        <v>1159869569.6900001</v>
      </c>
      <c r="BC18" s="4">
        <v>1159869569.6900001</v>
      </c>
      <c r="BD18" s="4">
        <v>1159869569.6900001</v>
      </c>
      <c r="BE18" s="4">
        <v>1159869569.6900001</v>
      </c>
      <c r="BF18" s="4">
        <v>1159869569.6900001</v>
      </c>
      <c r="BG18" s="4">
        <v>1183595582.3384001</v>
      </c>
      <c r="BH18" s="4">
        <v>1183595582.3384001</v>
      </c>
      <c r="BI18" s="23">
        <v>1183595582.3384001</v>
      </c>
      <c r="BJ18" s="35">
        <v>1183595582.3384001</v>
      </c>
      <c r="BK18" s="4">
        <v>1183595582.3384001</v>
      </c>
      <c r="BL18" s="35">
        <v>1183595582.3384001</v>
      </c>
      <c r="BM18" s="4">
        <v>1183595582.3384001</v>
      </c>
      <c r="BN18" s="4">
        <v>1183595582.3384001</v>
      </c>
      <c r="BO18" s="4">
        <v>1183595582.3384001</v>
      </c>
      <c r="BP18" s="4">
        <v>1183595582.3384001</v>
      </c>
      <c r="BQ18" s="35">
        <v>1183595582.3384001</v>
      </c>
      <c r="BR18" s="4">
        <v>1183595582.3384001</v>
      </c>
      <c r="BS18" s="35">
        <v>1183595582.3384001</v>
      </c>
      <c r="BT18" s="4">
        <v>1183595582.3384001</v>
      </c>
      <c r="BU18" s="4">
        <v>1183595582.3384001</v>
      </c>
      <c r="BV18" s="4">
        <v>1183595582.3384001</v>
      </c>
      <c r="BW18" s="4">
        <v>1183595582.3384001</v>
      </c>
      <c r="BX18" s="4">
        <v>1183595582.3384001</v>
      </c>
      <c r="BY18" s="4">
        <v>1183595582.3384001</v>
      </c>
      <c r="BZ18" s="4">
        <v>1183595582.3384001</v>
      </c>
      <c r="CA18" s="4">
        <v>1183595582.3384001</v>
      </c>
      <c r="CB18" s="4">
        <v>1183595582.3384001</v>
      </c>
      <c r="CC18" s="4">
        <v>1183595582.3384001</v>
      </c>
      <c r="CD18" s="4">
        <v>1183595582.3384001</v>
      </c>
      <c r="CE18" s="4">
        <v>1183595582.3384001</v>
      </c>
      <c r="CF18" s="4">
        <v>1183595582.3384001</v>
      </c>
      <c r="CG18" s="4">
        <v>1183595582.3384001</v>
      </c>
      <c r="CH18" s="4">
        <v>1183595582.3384001</v>
      </c>
      <c r="CI18" s="4">
        <v>1183595582.3384001</v>
      </c>
      <c r="CJ18" s="35">
        <v>1183595582.3384001</v>
      </c>
      <c r="CK18" s="4">
        <v>1183595582.3384001</v>
      </c>
      <c r="CL18" s="35">
        <v>1183595582.3384001</v>
      </c>
      <c r="CM18" s="4">
        <v>1183595582.3384001</v>
      </c>
      <c r="CN18" s="4">
        <v>1183595582.3384001</v>
      </c>
      <c r="CO18" s="4">
        <v>1183595582.3384001</v>
      </c>
      <c r="CP18" s="4">
        <v>1183595582.3384001</v>
      </c>
      <c r="CQ18" s="4">
        <v>1183595582.3384001</v>
      </c>
      <c r="CR18" s="4">
        <v>1183595582.3384001</v>
      </c>
      <c r="CS18" s="4">
        <v>1183595582.3384001</v>
      </c>
    </row>
    <row r="19" spans="1:97" x14ac:dyDescent="0.25">
      <c r="A19" t="s">
        <v>21</v>
      </c>
      <c r="B19" s="2"/>
      <c r="C19" s="23">
        <v>184798045.37</v>
      </c>
      <c r="D19" s="4">
        <v>184798045.37</v>
      </c>
      <c r="E19" s="4">
        <v>184798045.37</v>
      </c>
      <c r="F19" s="4">
        <v>184798045.37</v>
      </c>
      <c r="G19" s="4">
        <v>184798045.37</v>
      </c>
      <c r="H19" s="4">
        <v>184798045.37</v>
      </c>
      <c r="I19" s="4">
        <v>184798045.37</v>
      </c>
      <c r="J19" s="4">
        <v>184798045.37</v>
      </c>
      <c r="K19" s="4">
        <v>184798045.37</v>
      </c>
      <c r="L19" s="23">
        <v>184798045.37</v>
      </c>
      <c r="M19" s="4">
        <f>184798045.37+150000000</f>
        <v>334798045.37</v>
      </c>
      <c r="N19" s="4">
        <f>184798045.37-150000000</f>
        <v>34798045.370000005</v>
      </c>
      <c r="O19" s="23">
        <f>184798045.37-100000000</f>
        <v>84798045.370000005</v>
      </c>
      <c r="P19" s="4">
        <f>184798045.37+100000000</f>
        <v>284798045.37</v>
      </c>
      <c r="Q19" s="4">
        <f>64378292.77-50000000</f>
        <v>14378292.770000003</v>
      </c>
      <c r="R19" s="4">
        <f>64378292.77+50000000</f>
        <v>114378292.77000001</v>
      </c>
      <c r="S19" s="4">
        <f>64378292.77-10000000</f>
        <v>54378292.770000003</v>
      </c>
      <c r="T19" s="23">
        <f>64378292.77+10000000</f>
        <v>74378292.770000011</v>
      </c>
      <c r="U19" s="39">
        <v>64378292.769999996</v>
      </c>
      <c r="V19" s="39">
        <v>64378292.769999996</v>
      </c>
      <c r="W19" s="39">
        <v>64378292.769999996</v>
      </c>
      <c r="X19" s="39">
        <v>64378292.769999996</v>
      </c>
      <c r="Y19" s="23">
        <v>64378292.769999996</v>
      </c>
      <c r="Z19" s="39">
        <v>64378292.769999996</v>
      </c>
      <c r="AA19" s="39">
        <v>64378292.769999996</v>
      </c>
      <c r="AB19" s="39">
        <v>64378292.769999996</v>
      </c>
      <c r="AC19" s="39">
        <v>64378292.769999996</v>
      </c>
      <c r="AD19" s="4">
        <v>64378292.769999996</v>
      </c>
      <c r="AE19" s="4">
        <v>64378292.769999996</v>
      </c>
      <c r="AF19" s="4">
        <v>22917006.180000007</v>
      </c>
      <c r="AG19" s="4">
        <v>22917006.180000007</v>
      </c>
      <c r="AH19" s="4">
        <v>22917006.180000007</v>
      </c>
      <c r="AI19" s="4">
        <v>22917006.180000007</v>
      </c>
      <c r="AJ19" s="23">
        <v>22917006.180000007</v>
      </c>
      <c r="AK19" s="39">
        <v>22917006.180000007</v>
      </c>
      <c r="AL19" s="39">
        <v>22917006.180000007</v>
      </c>
      <c r="AM19" s="39">
        <v>22917006.180000007</v>
      </c>
      <c r="AN19" s="39">
        <v>22917006.180000007</v>
      </c>
      <c r="AO19" s="4">
        <v>22917006.180000007</v>
      </c>
      <c r="AP19" s="23">
        <v>22917006.180000007</v>
      </c>
      <c r="AQ19" s="4">
        <v>22917006.180000007</v>
      </c>
      <c r="AR19" s="4">
        <v>22917006.180000007</v>
      </c>
      <c r="AS19" s="4">
        <v>22917006.180000007</v>
      </c>
      <c r="AT19" s="4">
        <v>22917006.180000007</v>
      </c>
      <c r="AU19" s="7">
        <f>22917006.18+20000000</f>
        <v>42917006.18</v>
      </c>
      <c r="AV19" s="23">
        <f>22917006.18-20000000</f>
        <v>2917006.1799999997</v>
      </c>
      <c r="AW19" s="7">
        <f>22917006.18+15000000</f>
        <v>37917006.18</v>
      </c>
      <c r="AX19" s="7">
        <f>22917006.18-15000000</f>
        <v>7917006.1799999997</v>
      </c>
      <c r="AY19" s="4">
        <v>22917006.180000007</v>
      </c>
      <c r="AZ19" s="4">
        <v>22917006.180000007</v>
      </c>
      <c r="BA19" s="4">
        <v>22917006.180000007</v>
      </c>
      <c r="BB19" s="23">
        <v>22917006.180000007</v>
      </c>
      <c r="BC19" s="4">
        <v>22917006.180000007</v>
      </c>
      <c r="BD19" s="4">
        <v>22917006.180000007</v>
      </c>
      <c r="BE19" s="4">
        <v>22917006.180000007</v>
      </c>
      <c r="BF19" s="4">
        <v>22917006.180000007</v>
      </c>
      <c r="BG19" s="4">
        <v>54958539.648400009</v>
      </c>
      <c r="BH19" s="4">
        <v>54958539.648400009</v>
      </c>
      <c r="BI19" s="23">
        <v>54958539.648400009</v>
      </c>
      <c r="BJ19" s="35">
        <f>54958539.6484-15000000</f>
        <v>39958539.648400001</v>
      </c>
      <c r="BK19" s="9">
        <f>54958539.6484+15000000</f>
        <v>69958539.648400009</v>
      </c>
      <c r="BL19" s="35">
        <f>54958539.6484-15000000</f>
        <v>39958539.648400001</v>
      </c>
      <c r="BM19" s="9">
        <f>54958539.6484+15000000</f>
        <v>69958539.648400009</v>
      </c>
      <c r="BN19" s="9">
        <f>54958539.6484-40000000</f>
        <v>14958539.648400001</v>
      </c>
      <c r="BO19" s="9">
        <f>54958539.6484+40000000</f>
        <v>94958539.648400009</v>
      </c>
      <c r="BP19" s="9">
        <f>54958539.6484-15000000</f>
        <v>39958539.648400001</v>
      </c>
      <c r="BQ19" s="35">
        <f>54958539.6484+15000000</f>
        <v>69958539.648400009</v>
      </c>
      <c r="BR19" s="9">
        <f>54958539.6484-15000000</f>
        <v>39958539.648400001</v>
      </c>
      <c r="BS19" s="35">
        <f>54958539.6484+15000000</f>
        <v>69958539.648400009</v>
      </c>
      <c r="BT19" s="9">
        <f>54958539.6484</f>
        <v>54958539.648400001</v>
      </c>
      <c r="BU19" s="9">
        <f>54958539.6484+5000000</f>
        <v>59958539.648400001</v>
      </c>
      <c r="BV19" s="9">
        <f>54958539.6484-5000000</f>
        <v>49958539.648400001</v>
      </c>
      <c r="BW19" s="9">
        <f>54958539.6484</f>
        <v>54958539.648400001</v>
      </c>
      <c r="BX19" s="9">
        <f>54958539.6484+5000000</f>
        <v>59958539.648400001</v>
      </c>
      <c r="BY19" s="9">
        <f>54958539.6484-5000000</f>
        <v>49958539.648400001</v>
      </c>
      <c r="BZ19" s="9">
        <f>54958539.6484</f>
        <v>54958539.648400001</v>
      </c>
      <c r="CA19" s="9">
        <f>54958539.6484+10000000</f>
        <v>64958539.648400001</v>
      </c>
      <c r="CB19" s="9">
        <f>54958539.6484-10000000</f>
        <v>44958539.648400001</v>
      </c>
      <c r="CC19" s="9">
        <f>54958539.6484</f>
        <v>54958539.648400001</v>
      </c>
      <c r="CD19" s="9">
        <f>54958539.6484+10000000</f>
        <v>64958539.648400001</v>
      </c>
      <c r="CE19" s="9">
        <f>54958539.6484-10000000</f>
        <v>44958539.648400001</v>
      </c>
      <c r="CF19" s="9">
        <f>54958539.6484+30000000</f>
        <v>84958539.648400009</v>
      </c>
      <c r="CG19" s="9">
        <f>54958539.6484-30000000</f>
        <v>24958539.648400001</v>
      </c>
      <c r="CH19" s="9">
        <f>54958539.6484+5000000</f>
        <v>59958539.648400001</v>
      </c>
      <c r="CI19" s="9">
        <f>54958539.6484-5000000</f>
        <v>49958539.648400001</v>
      </c>
      <c r="CJ19" s="35">
        <f>54958539.6484+5000000</f>
        <v>59958539.648400001</v>
      </c>
      <c r="CK19" s="9">
        <f>54958539.6484-5000000</f>
        <v>49958539.648400001</v>
      </c>
      <c r="CL19" s="35">
        <f>54958539.6484+10000000</f>
        <v>64958539.648400001</v>
      </c>
      <c r="CM19" s="9">
        <f>54958539.6484-10000000</f>
        <v>44958539.648400001</v>
      </c>
      <c r="CN19" s="9">
        <f>54958539.6484+10000000</f>
        <v>64958539.648400001</v>
      </c>
      <c r="CO19" s="9">
        <f>54958539.6484-10000000</f>
        <v>44958539.648400001</v>
      </c>
      <c r="CP19" s="9">
        <f>54958539.6484+15000000</f>
        <v>69958539.648400009</v>
      </c>
      <c r="CQ19" s="9">
        <f>54958539.6484-15000000</f>
        <v>39958539.648400001</v>
      </c>
      <c r="CR19" s="9">
        <f>54958539.6484+15000000</f>
        <v>69958539.648400009</v>
      </c>
      <c r="CS19" s="9">
        <f>54958539.6484-15000000</f>
        <v>39958539.648400001</v>
      </c>
    </row>
    <row r="20" spans="1:97" x14ac:dyDescent="0.25">
      <c r="A20" t="s">
        <v>22</v>
      </c>
      <c r="B20" s="2"/>
      <c r="C20" s="23">
        <v>1332213231.2</v>
      </c>
      <c r="D20" s="4">
        <v>1332213231.2</v>
      </c>
      <c r="E20" s="4">
        <v>1332213231.2</v>
      </c>
      <c r="F20" s="4">
        <v>1332213231.2</v>
      </c>
      <c r="G20" s="4">
        <v>1332213231.2</v>
      </c>
      <c r="H20" s="4">
        <v>1332213231.2</v>
      </c>
      <c r="I20" s="4">
        <v>1332213231.2</v>
      </c>
      <c r="J20" s="4">
        <v>1332213231.2</v>
      </c>
      <c r="K20" s="4">
        <v>1332213231.2</v>
      </c>
      <c r="L20" s="23">
        <v>1332213231.2</v>
      </c>
      <c r="M20" s="4">
        <v>1332213231.2</v>
      </c>
      <c r="N20" s="4">
        <v>1332213231.2</v>
      </c>
      <c r="O20" s="23">
        <v>1332213231.2</v>
      </c>
      <c r="P20" s="4">
        <v>1332213231.2</v>
      </c>
      <c r="Q20" s="4">
        <v>1091886314.1699998</v>
      </c>
      <c r="R20" s="4">
        <v>1091886314.1699998</v>
      </c>
      <c r="S20" s="4">
        <v>1091886314.1699998</v>
      </c>
      <c r="T20" s="23">
        <v>1091886314.1699998</v>
      </c>
      <c r="U20" s="39">
        <v>1091886314.1699998</v>
      </c>
      <c r="V20" s="39">
        <v>1091886314.1699998</v>
      </c>
      <c r="W20" s="39">
        <v>1091886314.1699998</v>
      </c>
      <c r="X20" s="39">
        <v>1091886314.1699998</v>
      </c>
      <c r="Y20" s="23">
        <v>1091886314.1699998</v>
      </c>
      <c r="Z20" s="39">
        <v>1091886314.1699998</v>
      </c>
      <c r="AA20" s="39">
        <v>1091886314.1699998</v>
      </c>
      <c r="AB20" s="39">
        <v>1091886314.1699998</v>
      </c>
      <c r="AC20" s="39">
        <v>1091886314.1699998</v>
      </c>
      <c r="AD20" s="4">
        <v>1091886314.1699998</v>
      </c>
      <c r="AE20" s="4">
        <v>1091886314.1699998</v>
      </c>
      <c r="AF20" s="4">
        <v>1136952563.51</v>
      </c>
      <c r="AG20" s="4">
        <v>1136952563.51</v>
      </c>
      <c r="AH20" s="4">
        <v>1136952563.51</v>
      </c>
      <c r="AI20" s="4">
        <v>1136952563.51</v>
      </c>
      <c r="AJ20" s="23">
        <v>1136952563.51</v>
      </c>
      <c r="AK20" s="39">
        <v>1136952563.51</v>
      </c>
      <c r="AL20" s="39">
        <v>1136952563.51</v>
      </c>
      <c r="AM20" s="39">
        <v>1136952563.51</v>
      </c>
      <c r="AN20" s="39">
        <v>1136952563.51</v>
      </c>
      <c r="AO20" s="4">
        <v>1136952563.51</v>
      </c>
      <c r="AP20" s="23">
        <v>1136952563.51</v>
      </c>
      <c r="AQ20" s="4">
        <v>1136952563.51</v>
      </c>
      <c r="AR20" s="4">
        <v>1136952563.51</v>
      </c>
      <c r="AS20" s="4">
        <v>1136952563.51</v>
      </c>
      <c r="AT20" s="4">
        <v>1136952563.51</v>
      </c>
      <c r="AU20" s="4">
        <v>1136952563.51</v>
      </c>
      <c r="AV20" s="23">
        <v>1136952563.51</v>
      </c>
      <c r="AW20" s="4">
        <v>1136952563.51</v>
      </c>
      <c r="AX20" s="4">
        <v>1136952563.51</v>
      </c>
      <c r="AY20" s="4">
        <v>1136952563.51</v>
      </c>
      <c r="AZ20" s="4">
        <v>1136952563.51</v>
      </c>
      <c r="BA20" s="4">
        <v>1136952563.51</v>
      </c>
      <c r="BB20" s="23">
        <v>1136952563.51</v>
      </c>
      <c r="BC20" s="4">
        <v>1136952563.51</v>
      </c>
      <c r="BD20" s="4">
        <v>1136952563.51</v>
      </c>
      <c r="BE20" s="4">
        <v>1136952563.51</v>
      </c>
      <c r="BF20" s="4">
        <v>1136952563.51</v>
      </c>
      <c r="BG20" s="4">
        <v>1128637042.6900001</v>
      </c>
      <c r="BH20" s="4">
        <v>1128637042.6900001</v>
      </c>
      <c r="BI20" s="23">
        <v>1128637042.6900001</v>
      </c>
      <c r="BJ20" s="35">
        <v>1128637042.6900001</v>
      </c>
      <c r="BK20" s="4">
        <v>1128637042.6900001</v>
      </c>
      <c r="BL20" s="35">
        <v>1128637042.6900001</v>
      </c>
      <c r="BM20" s="4">
        <v>1128637042.6900001</v>
      </c>
      <c r="BN20" s="4">
        <v>1128637042.6900001</v>
      </c>
      <c r="BO20" s="4">
        <v>1128637042.6900001</v>
      </c>
      <c r="BP20" s="4">
        <v>1128637042.6900001</v>
      </c>
      <c r="BQ20" s="35">
        <v>1128637042.6900001</v>
      </c>
      <c r="BR20" s="4">
        <v>1128637042.6900001</v>
      </c>
      <c r="BS20" s="35">
        <v>1128637042.6900001</v>
      </c>
      <c r="BT20" s="4">
        <v>1128637042.6900001</v>
      </c>
      <c r="BU20" s="4">
        <v>1128637042.6900001</v>
      </c>
      <c r="BV20" s="4">
        <v>1128637042.6900001</v>
      </c>
      <c r="BW20" s="4">
        <v>1128637042.6900001</v>
      </c>
      <c r="BX20" s="4">
        <v>1128637042.6900001</v>
      </c>
      <c r="BY20" s="4">
        <v>1128637042.6900001</v>
      </c>
      <c r="BZ20" s="4">
        <v>1128637042.6900001</v>
      </c>
      <c r="CA20" s="4">
        <v>1128637042.6900001</v>
      </c>
      <c r="CB20" s="4">
        <v>1128637042.6900001</v>
      </c>
      <c r="CC20" s="4">
        <v>1128637042.6900001</v>
      </c>
      <c r="CD20" s="4">
        <v>1128637042.6900001</v>
      </c>
      <c r="CE20" s="4">
        <v>1128637042.6900001</v>
      </c>
      <c r="CF20" s="4">
        <v>1128637042.6900001</v>
      </c>
      <c r="CG20" s="4">
        <v>1128637042.6900001</v>
      </c>
      <c r="CH20" s="4">
        <v>1128637042.6900001</v>
      </c>
      <c r="CI20" s="4">
        <v>1128637042.6900001</v>
      </c>
      <c r="CJ20" s="35">
        <v>1128637042.6900001</v>
      </c>
      <c r="CK20" s="4">
        <v>1128637042.6900001</v>
      </c>
      <c r="CL20" s="35">
        <v>1128637042.6900001</v>
      </c>
      <c r="CM20" s="4">
        <v>1128637042.6900001</v>
      </c>
      <c r="CN20" s="4">
        <v>1128637042.6900001</v>
      </c>
      <c r="CO20" s="4">
        <v>1128637042.6900001</v>
      </c>
      <c r="CP20" s="4">
        <v>1128637042.6900001</v>
      </c>
      <c r="CQ20" s="4">
        <v>1128637042.6900001</v>
      </c>
      <c r="CR20" s="4">
        <v>1128637042.6900001</v>
      </c>
      <c r="CS20" s="4">
        <v>1128637042.6900001</v>
      </c>
    </row>
    <row r="21" spans="1:97" x14ac:dyDescent="0.25">
      <c r="A21" t="s">
        <v>23</v>
      </c>
      <c r="B21" s="2"/>
      <c r="C21" s="23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23">
        <v>0</v>
      </c>
      <c r="M21" s="4">
        <v>0</v>
      </c>
      <c r="N21" s="4">
        <v>0</v>
      </c>
      <c r="O21" s="23">
        <v>0</v>
      </c>
      <c r="P21" s="4">
        <v>0</v>
      </c>
      <c r="Q21" s="4">
        <v>0</v>
      </c>
      <c r="R21" s="4">
        <v>0</v>
      </c>
      <c r="S21" s="4">
        <v>0</v>
      </c>
      <c r="T21" s="23">
        <v>0</v>
      </c>
      <c r="U21" s="39">
        <v>0</v>
      </c>
      <c r="V21" s="39">
        <v>0</v>
      </c>
      <c r="W21" s="39">
        <v>0</v>
      </c>
      <c r="X21" s="39">
        <v>0</v>
      </c>
      <c r="Y21" s="23">
        <v>0</v>
      </c>
      <c r="Z21" s="39">
        <v>0</v>
      </c>
      <c r="AA21" s="39">
        <v>0</v>
      </c>
      <c r="AB21" s="39">
        <v>0</v>
      </c>
      <c r="AC21" s="39">
        <v>0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23">
        <v>0</v>
      </c>
      <c r="AK21" s="39">
        <v>0</v>
      </c>
      <c r="AL21" s="39">
        <v>0</v>
      </c>
      <c r="AM21" s="39">
        <v>0</v>
      </c>
      <c r="AN21" s="39">
        <v>0</v>
      </c>
      <c r="AO21" s="4">
        <v>0</v>
      </c>
      <c r="AP21" s="23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23">
        <v>0</v>
      </c>
      <c r="AW21" s="4">
        <v>0</v>
      </c>
      <c r="AX21" s="4">
        <v>0</v>
      </c>
      <c r="AY21" s="4">
        <v>0</v>
      </c>
      <c r="AZ21" s="4">
        <v>0</v>
      </c>
      <c r="BA21" s="4">
        <v>0</v>
      </c>
      <c r="BB21" s="23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23">
        <v>0</v>
      </c>
      <c r="BJ21" s="35">
        <v>0</v>
      </c>
      <c r="BK21" s="4">
        <v>0</v>
      </c>
      <c r="BL21" s="35">
        <v>0</v>
      </c>
      <c r="BM21" s="4">
        <v>0</v>
      </c>
      <c r="BN21" s="4">
        <v>0</v>
      </c>
      <c r="BO21" s="4">
        <v>0</v>
      </c>
      <c r="BP21" s="4">
        <v>0</v>
      </c>
      <c r="BQ21" s="35">
        <v>0</v>
      </c>
      <c r="BR21" s="4">
        <v>0</v>
      </c>
      <c r="BS21" s="35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35">
        <v>0</v>
      </c>
      <c r="CK21" s="4">
        <v>0</v>
      </c>
      <c r="CL21" s="35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4">
        <v>0</v>
      </c>
    </row>
    <row r="22" spans="1:97" x14ac:dyDescent="0.25">
      <c r="A22" t="s">
        <v>24</v>
      </c>
      <c r="B22" s="2"/>
      <c r="C22" s="23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23">
        <v>0</v>
      </c>
      <c r="M22" s="4">
        <v>0</v>
      </c>
      <c r="N22" s="4">
        <v>0</v>
      </c>
      <c r="O22" s="23">
        <v>0</v>
      </c>
      <c r="P22" s="4">
        <v>0</v>
      </c>
      <c r="Q22" s="4">
        <v>0</v>
      </c>
      <c r="R22" s="4">
        <v>0</v>
      </c>
      <c r="S22" s="4">
        <v>0</v>
      </c>
      <c r="T22" s="23">
        <v>0</v>
      </c>
      <c r="U22" s="39">
        <v>0</v>
      </c>
      <c r="V22" s="39">
        <v>0</v>
      </c>
      <c r="W22" s="39">
        <v>0</v>
      </c>
      <c r="X22" s="39">
        <v>0</v>
      </c>
      <c r="Y22" s="23">
        <v>0</v>
      </c>
      <c r="Z22" s="39">
        <v>0</v>
      </c>
      <c r="AA22" s="39">
        <v>0</v>
      </c>
      <c r="AB22" s="39">
        <v>0</v>
      </c>
      <c r="AC22" s="39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23">
        <v>0</v>
      </c>
      <c r="AK22" s="39">
        <v>0</v>
      </c>
      <c r="AL22" s="39">
        <v>0</v>
      </c>
      <c r="AM22" s="39">
        <v>0</v>
      </c>
      <c r="AN22" s="39">
        <v>0</v>
      </c>
      <c r="AO22" s="4">
        <v>0</v>
      </c>
      <c r="AP22" s="23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23">
        <v>0</v>
      </c>
      <c r="AW22" s="4">
        <v>0</v>
      </c>
      <c r="AX22" s="4">
        <v>0</v>
      </c>
      <c r="AY22" s="4">
        <v>0</v>
      </c>
      <c r="AZ22" s="4">
        <v>0</v>
      </c>
      <c r="BA22" s="4">
        <v>0</v>
      </c>
      <c r="BB22" s="23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23">
        <v>0</v>
      </c>
      <c r="BJ22" s="35">
        <v>0</v>
      </c>
      <c r="BK22" s="4">
        <v>0</v>
      </c>
      <c r="BL22" s="35">
        <v>0</v>
      </c>
      <c r="BM22" s="4">
        <v>0</v>
      </c>
      <c r="BN22" s="4">
        <v>0</v>
      </c>
      <c r="BO22" s="4">
        <v>0</v>
      </c>
      <c r="BP22" s="4">
        <v>0</v>
      </c>
      <c r="BQ22" s="35">
        <v>0</v>
      </c>
      <c r="BR22" s="4">
        <v>0</v>
      </c>
      <c r="BS22" s="35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35">
        <v>0</v>
      </c>
      <c r="CK22" s="4">
        <v>0</v>
      </c>
      <c r="CL22" s="35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4">
        <v>0</v>
      </c>
    </row>
    <row r="23" spans="1:97" x14ac:dyDescent="0.25">
      <c r="B23" s="2"/>
      <c r="C23" s="23"/>
      <c r="D23" s="4"/>
      <c r="E23" s="4"/>
      <c r="F23" s="4"/>
      <c r="G23" s="4"/>
      <c r="H23" s="4"/>
      <c r="I23" s="4"/>
      <c r="J23" s="4"/>
      <c r="K23" s="4"/>
      <c r="L23" s="23"/>
      <c r="M23" s="4"/>
      <c r="N23" s="4"/>
      <c r="O23" s="23"/>
      <c r="P23" s="4"/>
      <c r="Q23" s="4"/>
      <c r="R23" s="4"/>
      <c r="S23" s="4"/>
      <c r="T23" s="23"/>
      <c r="U23" s="39"/>
      <c r="V23" s="39"/>
      <c r="W23" s="39"/>
      <c r="X23" s="39"/>
      <c r="Y23" s="23"/>
      <c r="Z23" s="39"/>
      <c r="AA23" s="39"/>
      <c r="AB23" s="39"/>
      <c r="AC23" s="39"/>
      <c r="AD23" s="4"/>
      <c r="AE23" s="4"/>
      <c r="AF23" s="4"/>
      <c r="AG23" s="4"/>
      <c r="AH23" s="4"/>
      <c r="AI23" s="4"/>
      <c r="AJ23" s="23"/>
      <c r="AK23" s="39"/>
      <c r="AL23" s="39"/>
      <c r="AM23" s="39"/>
      <c r="AN23" s="39"/>
      <c r="AO23" s="4"/>
      <c r="AP23" s="23"/>
      <c r="AQ23" s="4"/>
      <c r="AR23" s="4"/>
      <c r="AS23" s="4"/>
      <c r="AT23" s="4"/>
      <c r="AU23" s="4"/>
      <c r="AV23" s="23"/>
      <c r="AW23" s="4"/>
      <c r="AX23" s="4"/>
      <c r="AY23" s="4"/>
      <c r="AZ23" s="4"/>
      <c r="BA23" s="4"/>
      <c r="BB23" s="23"/>
      <c r="BC23" s="4"/>
      <c r="BD23" s="4"/>
      <c r="BE23" s="4"/>
      <c r="BF23" s="4"/>
      <c r="BG23" s="4"/>
      <c r="BH23" s="4"/>
      <c r="BI23" s="23"/>
      <c r="BJ23" s="35"/>
      <c r="BK23" s="4"/>
      <c r="BL23" s="35"/>
      <c r="BM23" s="4"/>
      <c r="BN23" s="4"/>
      <c r="BO23" s="4"/>
      <c r="BP23" s="4"/>
      <c r="BQ23" s="35"/>
      <c r="BR23" s="4"/>
      <c r="BS23" s="35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35"/>
      <c r="CK23" s="4"/>
      <c r="CL23" s="35"/>
      <c r="CM23" s="4"/>
      <c r="CN23" s="4"/>
      <c r="CO23" s="4"/>
      <c r="CP23" s="4"/>
      <c r="CQ23" s="4"/>
      <c r="CR23" s="4"/>
      <c r="CS23" s="4"/>
    </row>
    <row r="24" spans="1:97" x14ac:dyDescent="0.25">
      <c r="A24" s="1" t="s">
        <v>25</v>
      </c>
      <c r="B24" s="2" t="s">
        <v>26</v>
      </c>
      <c r="C24" s="23">
        <v>3297269843.1500001</v>
      </c>
      <c r="D24" s="4">
        <v>3297269843.1500001</v>
      </c>
      <c r="E24" s="4">
        <v>3297269843.1500001</v>
      </c>
      <c r="F24" s="4">
        <v>3297269843.1500001</v>
      </c>
      <c r="G24" s="4">
        <v>3297269843.1500001</v>
      </c>
      <c r="H24" s="4">
        <v>3297269843.1500001</v>
      </c>
      <c r="I24" s="4">
        <v>3297269843.1500001</v>
      </c>
      <c r="J24" s="4">
        <v>3297269843.1500001</v>
      </c>
      <c r="K24" s="4">
        <v>3297269843.1500001</v>
      </c>
      <c r="L24" s="23">
        <v>3297269843.1500001</v>
      </c>
      <c r="M24" s="4">
        <v>3297269843.1500001</v>
      </c>
      <c r="N24" s="4">
        <v>3297269843.1500001</v>
      </c>
      <c r="O24" s="23">
        <v>3297269843.1500001</v>
      </c>
      <c r="P24" s="4">
        <v>3297269843.1500001</v>
      </c>
      <c r="Q24" s="4">
        <v>3471900391.3800001</v>
      </c>
      <c r="R24" s="4">
        <v>3471900391.3800001</v>
      </c>
      <c r="S24" s="4">
        <v>3471900391.3800001</v>
      </c>
      <c r="T24" s="23">
        <v>3471900391.3800001</v>
      </c>
      <c r="U24" s="39">
        <v>3471900391.3800001</v>
      </c>
      <c r="V24" s="39">
        <v>3471900391.3800001</v>
      </c>
      <c r="W24" s="39">
        <v>3471900391.3800001</v>
      </c>
      <c r="X24" s="39">
        <v>3471900391.3800001</v>
      </c>
      <c r="Y24" s="23">
        <v>3471900391.3800001</v>
      </c>
      <c r="Z24" s="39">
        <v>3471900391.3800001</v>
      </c>
      <c r="AA24" s="39">
        <v>3471900391.3800001</v>
      </c>
      <c r="AB24" s="39">
        <v>3471900391.3800001</v>
      </c>
      <c r="AC24" s="39">
        <v>3471900391.3800001</v>
      </c>
      <c r="AD24" s="4">
        <v>3471900391.3800001</v>
      </c>
      <c r="AE24" s="4">
        <v>3471900391.3800001</v>
      </c>
      <c r="AF24" s="4">
        <v>4276002808.2399998</v>
      </c>
      <c r="AG24" s="4">
        <v>4276002808.2399998</v>
      </c>
      <c r="AH24" s="4">
        <v>4276002808.2399998</v>
      </c>
      <c r="AI24" s="4">
        <v>4276002808.2399998</v>
      </c>
      <c r="AJ24" s="23">
        <v>4276002808.2399998</v>
      </c>
      <c r="AK24" s="39">
        <v>4276002808.2399998</v>
      </c>
      <c r="AL24" s="39">
        <v>4276002808.2399998</v>
      </c>
      <c r="AM24" s="39">
        <v>4276002808.2399998</v>
      </c>
      <c r="AN24" s="39">
        <v>4276002808.2399998</v>
      </c>
      <c r="AO24" s="4">
        <v>4276002808.2399998</v>
      </c>
      <c r="AP24" s="23">
        <v>4276002808.2399998</v>
      </c>
      <c r="AQ24" s="4">
        <v>4276002808.2399998</v>
      </c>
      <c r="AR24" s="4">
        <v>4276002808.2399998</v>
      </c>
      <c r="AS24" s="4">
        <v>4276002808.2399998</v>
      </c>
      <c r="AT24" s="4">
        <v>4276002808.2399998</v>
      </c>
      <c r="AU24" s="4">
        <v>4276002808.2399998</v>
      </c>
      <c r="AV24" s="23">
        <v>4276002808.2399998</v>
      </c>
      <c r="AW24" s="4">
        <v>4276002808.2399998</v>
      </c>
      <c r="AX24" s="4">
        <v>4276002808.2399998</v>
      </c>
      <c r="AY24" s="4">
        <v>4276002808.2399998</v>
      </c>
      <c r="AZ24" s="4">
        <v>4276002808.2399998</v>
      </c>
      <c r="BA24" s="4">
        <v>4276002808.2399998</v>
      </c>
      <c r="BB24" s="23">
        <v>4276002808.2399998</v>
      </c>
      <c r="BC24" s="4">
        <v>4276002808.2399998</v>
      </c>
      <c r="BD24" s="4">
        <v>4276002808.2399998</v>
      </c>
      <c r="BE24" s="4">
        <v>4276002808.2399998</v>
      </c>
      <c r="BF24" s="4">
        <v>4276002808.2399998</v>
      </c>
      <c r="BG24" s="4">
        <v>4382089239.5299997</v>
      </c>
      <c r="BH24" s="4">
        <v>4382089239.5299997</v>
      </c>
      <c r="BI24" s="23">
        <v>4382089239.5299997</v>
      </c>
      <c r="BJ24" s="35">
        <v>4382089239.5299997</v>
      </c>
      <c r="BK24" s="4">
        <v>4382089239.5299997</v>
      </c>
      <c r="BL24" s="35">
        <v>4382089239.5299997</v>
      </c>
      <c r="BM24" s="4">
        <v>4382089239.5299997</v>
      </c>
      <c r="BN24" s="4">
        <v>4382089239.5299997</v>
      </c>
      <c r="BO24" s="4">
        <v>4382089239.5299997</v>
      </c>
      <c r="BP24" s="4">
        <v>4382089239.5299997</v>
      </c>
      <c r="BQ24" s="35">
        <v>4382089239.5299997</v>
      </c>
      <c r="BR24" s="4">
        <v>4382089239.5299997</v>
      </c>
      <c r="BS24" s="35">
        <v>4382089239.5299997</v>
      </c>
      <c r="BT24" s="4">
        <v>4382089239.5299997</v>
      </c>
      <c r="BU24" s="4">
        <v>4382089239.5299997</v>
      </c>
      <c r="BV24" s="4">
        <v>4382089239.5299997</v>
      </c>
      <c r="BW24" s="4">
        <v>4382089239.5299997</v>
      </c>
      <c r="BX24" s="4">
        <v>4382089239.5299997</v>
      </c>
      <c r="BY24" s="4">
        <v>4382089239.5299997</v>
      </c>
      <c r="BZ24" s="4">
        <v>4382089239.5299997</v>
      </c>
      <c r="CA24" s="4">
        <v>4382089239.5299997</v>
      </c>
      <c r="CB24" s="4">
        <v>4382089239.5299997</v>
      </c>
      <c r="CC24" s="4">
        <v>4382089239.5299997</v>
      </c>
      <c r="CD24" s="4">
        <v>4382089239.5299997</v>
      </c>
      <c r="CE24" s="4">
        <v>4382089239.5299997</v>
      </c>
      <c r="CF24" s="4">
        <v>4382089239.5299997</v>
      </c>
      <c r="CG24" s="4">
        <v>4382089239.5299997</v>
      </c>
      <c r="CH24" s="4">
        <v>4382089239.5299997</v>
      </c>
      <c r="CI24" s="4">
        <v>4382089239.5299997</v>
      </c>
      <c r="CJ24" s="35">
        <v>4382089239.5299997</v>
      </c>
      <c r="CK24" s="4">
        <v>4382089239.5299997</v>
      </c>
      <c r="CL24" s="35">
        <v>4382089239.5299997</v>
      </c>
      <c r="CM24" s="4">
        <v>4382089239.5299997</v>
      </c>
      <c r="CN24" s="4">
        <v>4382089239.5299997</v>
      </c>
      <c r="CO24" s="4">
        <v>4382089239.5299997</v>
      </c>
      <c r="CP24" s="4">
        <v>4382089239.5299997</v>
      </c>
      <c r="CQ24" s="4">
        <v>4382089239.5299997</v>
      </c>
      <c r="CR24" s="4">
        <v>4382089239.5299997</v>
      </c>
      <c r="CS24" s="4">
        <v>4382089239.5299997</v>
      </c>
    </row>
    <row r="25" spans="1:97" x14ac:dyDescent="0.25">
      <c r="A25" t="s">
        <v>27</v>
      </c>
      <c r="B25" s="2"/>
      <c r="C25" s="23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23">
        <v>0</v>
      </c>
      <c r="M25" s="4">
        <v>0</v>
      </c>
      <c r="N25" s="4">
        <v>0</v>
      </c>
      <c r="O25" s="23">
        <v>0</v>
      </c>
      <c r="P25" s="4">
        <v>0</v>
      </c>
      <c r="Q25" s="4">
        <v>0</v>
      </c>
      <c r="R25" s="4">
        <v>0</v>
      </c>
      <c r="S25" s="4">
        <v>0</v>
      </c>
      <c r="T25" s="23">
        <v>0</v>
      </c>
      <c r="U25" s="39">
        <v>0</v>
      </c>
      <c r="V25" s="39">
        <v>0</v>
      </c>
      <c r="W25" s="39">
        <v>0</v>
      </c>
      <c r="X25" s="39">
        <v>0</v>
      </c>
      <c r="Y25" s="23">
        <v>0</v>
      </c>
      <c r="Z25" s="39">
        <v>0</v>
      </c>
      <c r="AA25" s="39">
        <v>0</v>
      </c>
      <c r="AB25" s="39">
        <v>0</v>
      </c>
      <c r="AC25" s="39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23">
        <v>0</v>
      </c>
      <c r="AK25" s="39">
        <v>0</v>
      </c>
      <c r="AL25" s="39">
        <v>0</v>
      </c>
      <c r="AM25" s="39">
        <v>0</v>
      </c>
      <c r="AN25" s="39">
        <v>0</v>
      </c>
      <c r="AO25" s="4">
        <v>0</v>
      </c>
      <c r="AP25" s="23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23">
        <v>0</v>
      </c>
      <c r="AW25" s="4">
        <v>0</v>
      </c>
      <c r="AX25" s="4">
        <v>0</v>
      </c>
      <c r="AY25" s="4">
        <v>0</v>
      </c>
      <c r="AZ25" s="4">
        <v>0</v>
      </c>
      <c r="BA25" s="4">
        <v>0</v>
      </c>
      <c r="BB25" s="23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23">
        <v>0</v>
      </c>
      <c r="BJ25" s="35">
        <v>0</v>
      </c>
      <c r="BK25" s="4">
        <v>0</v>
      </c>
      <c r="BL25" s="35">
        <v>0</v>
      </c>
      <c r="BM25" s="4">
        <v>0</v>
      </c>
      <c r="BN25" s="4">
        <v>0</v>
      </c>
      <c r="BO25" s="4">
        <v>0</v>
      </c>
      <c r="BP25" s="4">
        <v>0</v>
      </c>
      <c r="BQ25" s="35">
        <v>0</v>
      </c>
      <c r="BR25" s="4">
        <v>0</v>
      </c>
      <c r="BS25" s="35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35">
        <v>0</v>
      </c>
      <c r="CK25" s="4">
        <v>0</v>
      </c>
      <c r="CL25" s="35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4">
        <v>0</v>
      </c>
    </row>
    <row r="26" spans="1:97" x14ac:dyDescent="0.25">
      <c r="A26" t="s">
        <v>28</v>
      </c>
      <c r="B26" s="2"/>
      <c r="C26" s="23">
        <v>181738438.22999999</v>
      </c>
      <c r="D26" s="4">
        <v>181738438.22999999</v>
      </c>
      <c r="E26" s="4">
        <v>181738438.22999999</v>
      </c>
      <c r="F26" s="4">
        <v>181738438.22999999</v>
      </c>
      <c r="G26" s="4">
        <v>181738438.22999999</v>
      </c>
      <c r="H26" s="4">
        <v>181738438.22999999</v>
      </c>
      <c r="I26" s="4">
        <v>181738438.22999999</v>
      </c>
      <c r="J26" s="4">
        <v>181738438.22999999</v>
      </c>
      <c r="K26" s="4">
        <v>181738438.22999999</v>
      </c>
      <c r="L26" s="23">
        <v>181738438.22999999</v>
      </c>
      <c r="M26" s="4">
        <v>181738438.22999999</v>
      </c>
      <c r="N26" s="4">
        <v>181738438.22999999</v>
      </c>
      <c r="O26" s="23">
        <v>181738438.22999999</v>
      </c>
      <c r="P26" s="4">
        <v>181738438.22999999</v>
      </c>
      <c r="Q26" s="4">
        <v>182409369</v>
      </c>
      <c r="R26" s="4">
        <v>182409369</v>
      </c>
      <c r="S26" s="4">
        <v>182409369</v>
      </c>
      <c r="T26" s="23">
        <v>182409369</v>
      </c>
      <c r="U26" s="39">
        <v>182409369</v>
      </c>
      <c r="V26" s="39">
        <v>182409369</v>
      </c>
      <c r="W26" s="39">
        <v>182409369</v>
      </c>
      <c r="X26" s="39">
        <v>182409369</v>
      </c>
      <c r="Y26" s="23">
        <v>182409369</v>
      </c>
      <c r="Z26" s="39">
        <v>182409369</v>
      </c>
      <c r="AA26" s="39">
        <v>182409369</v>
      </c>
      <c r="AB26" s="39">
        <v>182409369</v>
      </c>
      <c r="AC26" s="39">
        <v>182409369</v>
      </c>
      <c r="AD26" s="4">
        <v>182409369</v>
      </c>
      <c r="AE26" s="4">
        <v>182409369</v>
      </c>
      <c r="AF26" s="4">
        <v>183477280.16</v>
      </c>
      <c r="AG26" s="4">
        <v>183477280.16</v>
      </c>
      <c r="AH26" s="4">
        <v>183477280.16</v>
      </c>
      <c r="AI26" s="4">
        <v>183477280.16</v>
      </c>
      <c r="AJ26" s="23">
        <v>183477280.16</v>
      </c>
      <c r="AK26" s="39">
        <v>183477280.16</v>
      </c>
      <c r="AL26" s="39">
        <v>183477280.16</v>
      </c>
      <c r="AM26" s="39">
        <v>183477280.16</v>
      </c>
      <c r="AN26" s="39">
        <v>183477280.16</v>
      </c>
      <c r="AO26" s="4">
        <v>183477280.16</v>
      </c>
      <c r="AP26" s="23">
        <v>183477280.16</v>
      </c>
      <c r="AQ26" s="4">
        <v>183477280.16</v>
      </c>
      <c r="AR26" s="4">
        <v>183477280.16</v>
      </c>
      <c r="AS26" s="4">
        <v>183477280.16</v>
      </c>
      <c r="AT26" s="4">
        <v>183477280.16</v>
      </c>
      <c r="AU26" s="7">
        <f>183477280.16-20000000</f>
        <v>163477280.16</v>
      </c>
      <c r="AV26" s="23">
        <f>183477280.16+20000000</f>
        <v>203477280.16</v>
      </c>
      <c r="AW26" s="4">
        <v>183477280.16</v>
      </c>
      <c r="AX26" s="4">
        <v>183477280.16</v>
      </c>
      <c r="AY26" s="4">
        <v>183477280.16</v>
      </c>
      <c r="AZ26" s="4">
        <v>183477280.16</v>
      </c>
      <c r="BA26" s="4">
        <v>183477280.16</v>
      </c>
      <c r="BB26" s="23">
        <v>183477280.16</v>
      </c>
      <c r="BC26" s="4">
        <v>183477280.16</v>
      </c>
      <c r="BD26" s="4">
        <v>183477280.16</v>
      </c>
      <c r="BE26" s="4">
        <v>183477280.16</v>
      </c>
      <c r="BF26" s="4">
        <v>183477280.16</v>
      </c>
      <c r="BG26" s="4">
        <v>183988278.11999997</v>
      </c>
      <c r="BH26" s="4">
        <v>183988278.11999997</v>
      </c>
      <c r="BI26" s="23">
        <v>183988278.11999997</v>
      </c>
      <c r="BJ26" s="35">
        <v>183988278.11999997</v>
      </c>
      <c r="BK26" s="4">
        <v>183988278.11999997</v>
      </c>
      <c r="BL26" s="35">
        <v>183988278.11999997</v>
      </c>
      <c r="BM26" s="4">
        <v>183988278.11999997</v>
      </c>
      <c r="BN26" s="4">
        <v>183988278.11999997</v>
      </c>
      <c r="BO26" s="4">
        <v>183988278.11999997</v>
      </c>
      <c r="BP26" s="4">
        <v>183988278.11999997</v>
      </c>
      <c r="BQ26" s="35">
        <v>183988278.11999997</v>
      </c>
      <c r="BR26" s="4">
        <v>183988278.11999997</v>
      </c>
      <c r="BS26" s="35">
        <v>183988278.11999997</v>
      </c>
      <c r="BT26" s="4">
        <v>183988278.11999997</v>
      </c>
      <c r="BU26" s="4">
        <v>183988278.11999997</v>
      </c>
      <c r="BV26" s="4">
        <v>183988278.11999997</v>
      </c>
      <c r="BW26" s="4">
        <v>183988278.11999997</v>
      </c>
      <c r="BX26" s="4">
        <v>183988278.11999997</v>
      </c>
      <c r="BY26" s="4">
        <v>183988278.11999997</v>
      </c>
      <c r="BZ26" s="4">
        <v>183988278.11999997</v>
      </c>
      <c r="CA26" s="4">
        <v>183988278.11999997</v>
      </c>
      <c r="CB26" s="4">
        <v>183988278.11999997</v>
      </c>
      <c r="CC26" s="4">
        <v>183988278.11999997</v>
      </c>
      <c r="CD26" s="4">
        <v>183988278.11999997</v>
      </c>
      <c r="CE26" s="4">
        <v>183988278.11999997</v>
      </c>
      <c r="CF26" s="4">
        <v>183988278.11999997</v>
      </c>
      <c r="CG26" s="4">
        <v>183988278.11999997</v>
      </c>
      <c r="CH26" s="4">
        <v>183988278.11999997</v>
      </c>
      <c r="CI26" s="4">
        <v>183988278.11999997</v>
      </c>
      <c r="CJ26" s="35">
        <v>183988278.11999997</v>
      </c>
      <c r="CK26" s="4">
        <v>183988278.11999997</v>
      </c>
      <c r="CL26" s="35">
        <v>183988278.11999997</v>
      </c>
      <c r="CM26" s="4">
        <v>183988278.11999997</v>
      </c>
      <c r="CN26" s="4">
        <v>183988278.11999997</v>
      </c>
      <c r="CO26" s="4">
        <v>183988278.11999997</v>
      </c>
      <c r="CP26" s="4">
        <v>183988278.11999997</v>
      </c>
      <c r="CQ26" s="4">
        <v>183988278.11999997</v>
      </c>
      <c r="CR26" s="4">
        <v>183988278.11999997</v>
      </c>
      <c r="CS26" s="4">
        <v>183988278.11999997</v>
      </c>
    </row>
    <row r="27" spans="1:97" x14ac:dyDescent="0.25">
      <c r="A27" t="s">
        <v>29</v>
      </c>
      <c r="B27" s="2"/>
      <c r="C27" s="23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23">
        <v>0</v>
      </c>
      <c r="M27" s="4">
        <v>0</v>
      </c>
      <c r="N27" s="4">
        <v>0</v>
      </c>
      <c r="O27" s="23">
        <v>0</v>
      </c>
      <c r="P27" s="4">
        <v>0</v>
      </c>
      <c r="Q27" s="4">
        <v>0</v>
      </c>
      <c r="R27" s="4">
        <v>0</v>
      </c>
      <c r="S27" s="4">
        <v>0</v>
      </c>
      <c r="T27" s="23">
        <v>0</v>
      </c>
      <c r="U27" s="39">
        <v>0</v>
      </c>
      <c r="V27" s="39">
        <v>0</v>
      </c>
      <c r="W27" s="39">
        <v>0</v>
      </c>
      <c r="X27" s="39">
        <v>0</v>
      </c>
      <c r="Y27" s="23">
        <v>0</v>
      </c>
      <c r="Z27" s="39">
        <v>0</v>
      </c>
      <c r="AA27" s="39">
        <v>0</v>
      </c>
      <c r="AB27" s="39">
        <v>0</v>
      </c>
      <c r="AC27" s="39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23">
        <v>0</v>
      </c>
      <c r="AK27" s="39">
        <v>0</v>
      </c>
      <c r="AL27" s="39">
        <v>0</v>
      </c>
      <c r="AM27" s="39">
        <v>0</v>
      </c>
      <c r="AN27" s="39">
        <v>0</v>
      </c>
      <c r="AO27" s="4">
        <v>0</v>
      </c>
      <c r="AP27" s="23">
        <v>0</v>
      </c>
      <c r="AQ27" s="4">
        <v>0</v>
      </c>
      <c r="AR27" s="4">
        <v>0</v>
      </c>
      <c r="AS27" s="4">
        <v>0</v>
      </c>
      <c r="AT27" s="4">
        <v>0</v>
      </c>
      <c r="AU27" s="4">
        <v>0</v>
      </c>
      <c r="AV27" s="23">
        <v>0</v>
      </c>
      <c r="AW27" s="4">
        <v>0</v>
      </c>
      <c r="AX27" s="4">
        <v>0</v>
      </c>
      <c r="AY27" s="4">
        <v>0</v>
      </c>
      <c r="AZ27" s="4">
        <v>0</v>
      </c>
      <c r="BA27" s="4">
        <v>0</v>
      </c>
      <c r="BB27" s="23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23">
        <v>0</v>
      </c>
      <c r="BJ27" s="35">
        <v>0</v>
      </c>
      <c r="BK27" s="4">
        <v>0</v>
      </c>
      <c r="BL27" s="35">
        <v>0</v>
      </c>
      <c r="BM27" s="4">
        <v>0</v>
      </c>
      <c r="BN27" s="4">
        <v>0</v>
      </c>
      <c r="BO27" s="4">
        <v>0</v>
      </c>
      <c r="BP27" s="4">
        <v>0</v>
      </c>
      <c r="BQ27" s="35">
        <v>0</v>
      </c>
      <c r="BR27" s="4">
        <v>0</v>
      </c>
      <c r="BS27" s="35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35">
        <v>0</v>
      </c>
      <c r="CK27" s="4">
        <v>0</v>
      </c>
      <c r="CL27" s="35">
        <v>0</v>
      </c>
      <c r="CM27" s="4">
        <v>0</v>
      </c>
      <c r="CN27" s="4">
        <v>0</v>
      </c>
      <c r="CO27" s="4">
        <v>0</v>
      </c>
      <c r="CP27" s="4">
        <v>0</v>
      </c>
      <c r="CQ27" s="4">
        <v>0</v>
      </c>
      <c r="CR27" s="4">
        <v>0</v>
      </c>
      <c r="CS27" s="4">
        <v>0</v>
      </c>
    </row>
    <row r="28" spans="1:97" x14ac:dyDescent="0.25">
      <c r="A28" t="s">
        <v>30</v>
      </c>
      <c r="B28" s="2"/>
      <c r="C28" s="23">
        <v>306163028.26999998</v>
      </c>
      <c r="D28" s="4">
        <v>306163028.26999998</v>
      </c>
      <c r="E28" s="4">
        <v>306163028.26999998</v>
      </c>
      <c r="F28" s="4">
        <v>306163028.26999998</v>
      </c>
      <c r="G28" s="4">
        <v>306163028.26999998</v>
      </c>
      <c r="H28" s="4">
        <v>306163028.26999998</v>
      </c>
      <c r="I28" s="4">
        <v>306163028.26999998</v>
      </c>
      <c r="J28" s="4">
        <v>306163028.26999998</v>
      </c>
      <c r="K28" s="4">
        <v>306163028.26999998</v>
      </c>
      <c r="L28" s="23">
        <v>306163028.26999998</v>
      </c>
      <c r="M28" s="4">
        <v>306163028.26999998</v>
      </c>
      <c r="N28" s="4">
        <v>306163028.26999998</v>
      </c>
      <c r="O28" s="23">
        <v>306163028.26999998</v>
      </c>
      <c r="P28" s="4">
        <v>306163028.26999998</v>
      </c>
      <c r="Q28" s="4">
        <v>307189276.52999997</v>
      </c>
      <c r="R28" s="4">
        <v>307189276.52999997</v>
      </c>
      <c r="S28" s="4">
        <v>307189276.52999997</v>
      </c>
      <c r="T28" s="23">
        <v>307189276.52999997</v>
      </c>
      <c r="U28" s="39">
        <v>307189276.52999997</v>
      </c>
      <c r="V28" s="39">
        <v>307189276.52999997</v>
      </c>
      <c r="W28" s="39">
        <v>307189276.52999997</v>
      </c>
      <c r="X28" s="39">
        <v>307189276.52999997</v>
      </c>
      <c r="Y28" s="23">
        <v>307189276.52999997</v>
      </c>
      <c r="Z28" s="39">
        <v>307189276.52999997</v>
      </c>
      <c r="AA28" s="39">
        <v>307189276.52999997</v>
      </c>
      <c r="AB28" s="39">
        <v>307189276.52999997</v>
      </c>
      <c r="AC28" s="39">
        <v>307189276.52999997</v>
      </c>
      <c r="AD28" s="4">
        <v>307189276.52999997</v>
      </c>
      <c r="AE28" s="4">
        <v>307189276.52999997</v>
      </c>
      <c r="AF28" s="4">
        <v>308885036.61000001</v>
      </c>
      <c r="AG28" s="4">
        <v>308885036.61000001</v>
      </c>
      <c r="AH28" s="4">
        <v>308885036.61000001</v>
      </c>
      <c r="AI28" s="4">
        <v>308885036.61000001</v>
      </c>
      <c r="AJ28" s="23">
        <v>308885036.61000001</v>
      </c>
      <c r="AK28" s="39">
        <v>308885036.61000001</v>
      </c>
      <c r="AL28" s="39">
        <v>308885036.61000001</v>
      </c>
      <c r="AM28" s="39">
        <v>308885036.61000001</v>
      </c>
      <c r="AN28" s="39">
        <v>308885036.61000001</v>
      </c>
      <c r="AO28" s="4">
        <v>308885036.61000001</v>
      </c>
      <c r="AP28" s="23">
        <v>308885036.61000001</v>
      </c>
      <c r="AQ28" s="4">
        <v>308885036.61000001</v>
      </c>
      <c r="AR28" s="4">
        <v>308885036.61000001</v>
      </c>
      <c r="AS28" s="4">
        <v>308885036.61000001</v>
      </c>
      <c r="AT28" s="4">
        <v>308885036.61000001</v>
      </c>
      <c r="AU28" s="4">
        <v>308885036.61000001</v>
      </c>
      <c r="AV28" s="23">
        <v>308885036.61000001</v>
      </c>
      <c r="AW28" s="7">
        <f>308885036.61-15000000</f>
        <v>293885036.61000001</v>
      </c>
      <c r="AX28" s="7">
        <f>308885036.61+15000000</f>
        <v>323885036.61000001</v>
      </c>
      <c r="AY28" s="4">
        <v>308885036.61000001</v>
      </c>
      <c r="AZ28" s="4">
        <v>308885036.61000001</v>
      </c>
      <c r="BA28" s="4">
        <v>308885036.61000001</v>
      </c>
      <c r="BB28" s="23">
        <v>308885036.61000001</v>
      </c>
      <c r="BC28" s="4">
        <v>308885036.61000001</v>
      </c>
      <c r="BD28" s="4">
        <v>308885036.61000001</v>
      </c>
      <c r="BE28" s="4">
        <v>308885036.61000001</v>
      </c>
      <c r="BF28" s="4">
        <v>308885036.61000001</v>
      </c>
      <c r="BG28" s="4">
        <v>309836161.85000002</v>
      </c>
      <c r="BH28" s="4">
        <v>309836161.85000002</v>
      </c>
      <c r="BI28" s="23">
        <v>309836161.85000002</v>
      </c>
      <c r="BJ28" s="35">
        <v>309836161.85000002</v>
      </c>
      <c r="BK28" s="4">
        <v>309836161.85000002</v>
      </c>
      <c r="BL28" s="35">
        <v>309836161.85000002</v>
      </c>
      <c r="BM28" s="4">
        <v>309836161.85000002</v>
      </c>
      <c r="BN28" s="4">
        <v>309836161.85000002</v>
      </c>
      <c r="BO28" s="4">
        <v>309836161.85000002</v>
      </c>
      <c r="BP28" s="4">
        <v>309836161.85000002</v>
      </c>
      <c r="BQ28" s="35">
        <v>309836161.85000002</v>
      </c>
      <c r="BR28" s="4">
        <v>309836161.85000002</v>
      </c>
      <c r="BS28" s="35">
        <v>309836161.85000002</v>
      </c>
      <c r="BT28" s="4">
        <v>309836161.85000002</v>
      </c>
      <c r="BU28" s="4">
        <v>309836161.85000002</v>
      </c>
      <c r="BV28" s="4">
        <v>309836161.85000002</v>
      </c>
      <c r="BW28" s="4">
        <v>309836161.85000002</v>
      </c>
      <c r="BX28" s="4">
        <v>309836161.85000002</v>
      </c>
      <c r="BY28" s="4">
        <v>309836161.85000002</v>
      </c>
      <c r="BZ28" s="4">
        <v>309836161.85000002</v>
      </c>
      <c r="CA28" s="4">
        <v>309836161.85000002</v>
      </c>
      <c r="CB28" s="4">
        <v>309836161.85000002</v>
      </c>
      <c r="CC28" s="4">
        <v>309836161.85000002</v>
      </c>
      <c r="CD28" s="4">
        <v>309836161.85000002</v>
      </c>
      <c r="CE28" s="4">
        <v>309836161.85000002</v>
      </c>
      <c r="CF28" s="4">
        <v>309836161.85000002</v>
      </c>
      <c r="CG28" s="4">
        <v>309836161.85000002</v>
      </c>
      <c r="CH28" s="4">
        <v>309836161.85000002</v>
      </c>
      <c r="CI28" s="4">
        <v>309836161.85000002</v>
      </c>
      <c r="CJ28" s="35">
        <v>309836161.85000002</v>
      </c>
      <c r="CK28" s="4">
        <v>309836161.85000002</v>
      </c>
      <c r="CL28" s="35">
        <v>309836161.85000002</v>
      </c>
      <c r="CM28" s="4">
        <v>309836161.85000002</v>
      </c>
      <c r="CN28" s="4">
        <v>309836161.85000002</v>
      </c>
      <c r="CO28" s="4">
        <v>309836161.85000002</v>
      </c>
      <c r="CP28" s="4">
        <v>309836161.85000002</v>
      </c>
      <c r="CQ28" s="4">
        <v>309836161.85000002</v>
      </c>
      <c r="CR28" s="4">
        <v>309836161.85000002</v>
      </c>
      <c r="CS28" s="4">
        <v>309836161.85000002</v>
      </c>
    </row>
    <row r="29" spans="1:97" x14ac:dyDescent="0.25">
      <c r="A29" t="s">
        <v>31</v>
      </c>
      <c r="B29" s="2"/>
      <c r="C29" s="23">
        <v>0</v>
      </c>
      <c r="D29" s="11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23">
        <v>0</v>
      </c>
      <c r="M29" s="11">
        <v>0</v>
      </c>
      <c r="N29" s="4">
        <v>0</v>
      </c>
      <c r="O29" s="23">
        <v>0</v>
      </c>
      <c r="P29" s="4">
        <v>0</v>
      </c>
      <c r="Q29" s="4">
        <v>0</v>
      </c>
      <c r="R29" s="4">
        <v>0</v>
      </c>
      <c r="S29" s="4">
        <v>0</v>
      </c>
      <c r="T29" s="23">
        <v>0</v>
      </c>
      <c r="U29" s="39">
        <v>0</v>
      </c>
      <c r="V29" s="39">
        <v>0</v>
      </c>
      <c r="W29" s="39">
        <v>0</v>
      </c>
      <c r="X29" s="39">
        <v>0</v>
      </c>
      <c r="Y29" s="23">
        <v>0</v>
      </c>
      <c r="Z29" s="39">
        <v>0</v>
      </c>
      <c r="AA29" s="39">
        <v>0</v>
      </c>
      <c r="AB29" s="39">
        <v>0</v>
      </c>
      <c r="AC29" s="39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23">
        <v>0</v>
      </c>
      <c r="AK29" s="39">
        <v>0</v>
      </c>
      <c r="AL29" s="39">
        <v>0</v>
      </c>
      <c r="AM29" s="39">
        <v>0</v>
      </c>
      <c r="AN29" s="39">
        <v>0</v>
      </c>
      <c r="AO29" s="4">
        <v>0</v>
      </c>
      <c r="AP29" s="23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23">
        <v>0</v>
      </c>
      <c r="AW29" s="4">
        <v>0</v>
      </c>
      <c r="AX29" s="4">
        <v>0</v>
      </c>
      <c r="AY29" s="4">
        <v>0</v>
      </c>
      <c r="AZ29" s="4">
        <v>0</v>
      </c>
      <c r="BA29" s="4">
        <v>0</v>
      </c>
      <c r="BB29" s="23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23">
        <v>0</v>
      </c>
      <c r="BJ29" s="35">
        <v>0</v>
      </c>
      <c r="BK29" s="4">
        <v>0</v>
      </c>
      <c r="BL29" s="35">
        <v>0</v>
      </c>
      <c r="BM29" s="4">
        <v>0</v>
      </c>
      <c r="BN29" s="4">
        <v>0</v>
      </c>
      <c r="BO29" s="4">
        <v>0</v>
      </c>
      <c r="BP29" s="4">
        <v>0</v>
      </c>
      <c r="BQ29" s="35">
        <v>0</v>
      </c>
      <c r="BR29" s="4">
        <v>0</v>
      </c>
      <c r="BS29" s="35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35">
        <v>0</v>
      </c>
      <c r="CK29" s="4">
        <v>0</v>
      </c>
      <c r="CL29" s="35">
        <v>0</v>
      </c>
      <c r="CM29" s="4">
        <v>0</v>
      </c>
      <c r="CN29" s="4">
        <v>0</v>
      </c>
      <c r="CO29" s="4">
        <v>0</v>
      </c>
      <c r="CP29" s="4">
        <v>0</v>
      </c>
      <c r="CQ29" s="4">
        <v>0</v>
      </c>
      <c r="CR29" s="4">
        <v>0</v>
      </c>
      <c r="CS29" s="4">
        <v>0</v>
      </c>
    </row>
    <row r="30" spans="1:97" x14ac:dyDescent="0.25">
      <c r="A30" t="s">
        <v>32</v>
      </c>
      <c r="B30" s="2"/>
      <c r="C30" s="23">
        <f>792786060.07+500000000</f>
        <v>1292786060.0700002</v>
      </c>
      <c r="D30" s="7">
        <f>792786060.07-500000000</f>
        <v>292786060.07000005</v>
      </c>
      <c r="E30" s="11">
        <v>792786060.07000005</v>
      </c>
      <c r="F30" s="4">
        <v>792786060.07000005</v>
      </c>
      <c r="G30" s="4">
        <v>792786060.07000005</v>
      </c>
      <c r="H30" s="4">
        <v>792786060.07000005</v>
      </c>
      <c r="I30" s="4">
        <v>792786060.07000005</v>
      </c>
      <c r="J30" s="4">
        <v>792786060.07000005</v>
      </c>
      <c r="K30" s="4">
        <v>792786060.07000005</v>
      </c>
      <c r="L30" s="23">
        <v>792786060.07000005</v>
      </c>
      <c r="M30" s="7">
        <f>792786060.07-150000000</f>
        <v>642786060.07000005</v>
      </c>
      <c r="N30" s="7">
        <f>792786060.07+150000000</f>
        <v>942786060.07000005</v>
      </c>
      <c r="O30" s="23">
        <v>792786060.07000005</v>
      </c>
      <c r="P30" s="4">
        <v>792786060.07000005</v>
      </c>
      <c r="Q30" s="4">
        <v>790681751.71000004</v>
      </c>
      <c r="R30" s="4">
        <v>790681751.71000004</v>
      </c>
      <c r="S30" s="4">
        <v>790681751.71000004</v>
      </c>
      <c r="T30" s="23">
        <v>790681751.71000004</v>
      </c>
      <c r="U30" s="39">
        <v>790681751.71000004</v>
      </c>
      <c r="V30" s="39">
        <v>790681751.71000004</v>
      </c>
      <c r="W30" s="39">
        <v>790681751.71000004</v>
      </c>
      <c r="X30" s="39">
        <v>790681751.71000004</v>
      </c>
      <c r="Y30" s="23">
        <v>790681751.71000004</v>
      </c>
      <c r="Z30" s="39">
        <v>790681751.71000004</v>
      </c>
      <c r="AA30" s="39">
        <v>790681751.71000004</v>
      </c>
      <c r="AB30" s="39">
        <v>790681751.71000004</v>
      </c>
      <c r="AC30" s="39">
        <v>790681751.71000004</v>
      </c>
      <c r="AD30" s="4">
        <v>790681751.71000004</v>
      </c>
      <c r="AE30" s="4">
        <v>790681751.71000004</v>
      </c>
      <c r="AF30" s="4">
        <v>792785340.16000009</v>
      </c>
      <c r="AG30" s="4">
        <v>792785340.16000009</v>
      </c>
      <c r="AH30" s="4">
        <v>792785340.16000009</v>
      </c>
      <c r="AI30" s="4">
        <v>792785340.16000009</v>
      </c>
      <c r="AJ30" s="23">
        <v>792785340.16000009</v>
      </c>
      <c r="AK30" s="39">
        <v>792785340.16000009</v>
      </c>
      <c r="AL30" s="39">
        <v>792785340.16000009</v>
      </c>
      <c r="AM30" s="39">
        <v>792785340.16000009</v>
      </c>
      <c r="AN30" s="39">
        <v>792785340.16000009</v>
      </c>
      <c r="AO30" s="4">
        <v>792785340.16000009</v>
      </c>
      <c r="AP30" s="23">
        <v>792785340.16000009</v>
      </c>
      <c r="AQ30" s="4">
        <v>792785340.16000009</v>
      </c>
      <c r="AR30" s="4">
        <v>792785340.16000009</v>
      </c>
      <c r="AS30" s="4">
        <v>792785340.16000009</v>
      </c>
      <c r="AT30" s="4">
        <v>792785340.16000009</v>
      </c>
      <c r="AU30" s="4">
        <v>792785340.16000009</v>
      </c>
      <c r="AV30" s="23">
        <v>792785340.16000009</v>
      </c>
      <c r="AW30" s="4">
        <v>792785340.16000009</v>
      </c>
      <c r="AX30" s="4">
        <v>792785340.16000009</v>
      </c>
      <c r="AY30" s="4">
        <v>792785340.16000009</v>
      </c>
      <c r="AZ30" s="4">
        <v>792785340.16000009</v>
      </c>
      <c r="BA30" s="4">
        <v>792785340.16000009</v>
      </c>
      <c r="BB30" s="23">
        <v>792785340.16000009</v>
      </c>
      <c r="BC30" s="4">
        <v>792785340.16000009</v>
      </c>
      <c r="BD30" s="4">
        <v>792785340.16000009</v>
      </c>
      <c r="BE30" s="4">
        <v>792785340.16000009</v>
      </c>
      <c r="BF30" s="4">
        <v>792785340.16000009</v>
      </c>
      <c r="BG30" s="4">
        <v>803547214.15999997</v>
      </c>
      <c r="BH30" s="4">
        <v>803547214.15999997</v>
      </c>
      <c r="BI30" s="23">
        <v>803547214.15999997</v>
      </c>
      <c r="BJ30" s="35">
        <v>803547214.15999997</v>
      </c>
      <c r="BK30" s="4">
        <v>803547214.15999997</v>
      </c>
      <c r="BL30" s="35">
        <v>803547214.15999997</v>
      </c>
      <c r="BM30" s="4">
        <v>803547214.15999997</v>
      </c>
      <c r="BN30" s="4">
        <v>803547214.15999997</v>
      </c>
      <c r="BO30" s="4">
        <v>803547214.15999997</v>
      </c>
      <c r="BP30" s="4">
        <v>803547214.15999997</v>
      </c>
      <c r="BQ30" s="35">
        <v>803547214.15999997</v>
      </c>
      <c r="BR30" s="4">
        <v>803547214.15999997</v>
      </c>
      <c r="BS30" s="35">
        <v>803547214.15999997</v>
      </c>
      <c r="BT30" s="4">
        <v>803547214.15999997</v>
      </c>
      <c r="BU30" s="4">
        <v>803547214.15999997</v>
      </c>
      <c r="BV30" s="4">
        <v>803547214.15999997</v>
      </c>
      <c r="BW30" s="4">
        <v>803547214.15999997</v>
      </c>
      <c r="BX30" s="4">
        <v>803547214.15999997</v>
      </c>
      <c r="BY30" s="4">
        <v>803547214.15999997</v>
      </c>
      <c r="BZ30" s="4">
        <v>803547214.15999997</v>
      </c>
      <c r="CA30" s="4">
        <v>803547214.15999997</v>
      </c>
      <c r="CB30" s="4">
        <v>803547214.15999997</v>
      </c>
      <c r="CC30" s="4">
        <v>803547214.15999997</v>
      </c>
      <c r="CD30" s="4">
        <v>803547214.15999997</v>
      </c>
      <c r="CE30" s="4">
        <v>803547214.15999997</v>
      </c>
      <c r="CF30" s="4">
        <v>803547214.15999997</v>
      </c>
      <c r="CG30" s="4">
        <v>803547214.15999997</v>
      </c>
      <c r="CH30" s="4">
        <v>803547214.15999997</v>
      </c>
      <c r="CI30" s="4">
        <v>803547214.15999997</v>
      </c>
      <c r="CJ30" s="35">
        <v>803547214.15999997</v>
      </c>
      <c r="CK30" s="4">
        <v>803547214.15999997</v>
      </c>
      <c r="CL30" s="35">
        <v>803547214.15999997</v>
      </c>
      <c r="CM30" s="4">
        <v>803547214.15999997</v>
      </c>
      <c r="CN30" s="4">
        <v>803547214.15999997</v>
      </c>
      <c r="CO30" s="4">
        <v>803547214.15999997</v>
      </c>
      <c r="CP30" s="4">
        <v>803547214.15999997</v>
      </c>
      <c r="CQ30" s="4">
        <v>803547214.15999997</v>
      </c>
      <c r="CR30" s="4">
        <v>803547214.15999997</v>
      </c>
      <c r="CS30" s="4">
        <v>803547214.15999997</v>
      </c>
    </row>
    <row r="31" spans="1:97" x14ac:dyDescent="0.25">
      <c r="A31" t="s">
        <v>33</v>
      </c>
      <c r="B31" s="2"/>
      <c r="C31" s="23">
        <v>187292191</v>
      </c>
      <c r="D31" s="4">
        <v>187292191</v>
      </c>
      <c r="E31" s="7">
        <f>187292191+50000000</f>
        <v>237292191</v>
      </c>
      <c r="F31" s="7">
        <f>187292191-50000000</f>
        <v>137292191</v>
      </c>
      <c r="G31" s="11">
        <v>187292191</v>
      </c>
      <c r="H31" s="11">
        <v>187292191</v>
      </c>
      <c r="I31" s="4">
        <v>187292191</v>
      </c>
      <c r="J31" s="4">
        <v>187292191</v>
      </c>
      <c r="K31" s="4">
        <v>187292191</v>
      </c>
      <c r="L31" s="23">
        <v>187292191</v>
      </c>
      <c r="M31" s="4">
        <v>187292191</v>
      </c>
      <c r="N31" s="4">
        <v>187292191</v>
      </c>
      <c r="O31" s="23">
        <f>187292191+100000000</f>
        <v>287292191</v>
      </c>
      <c r="P31" s="7">
        <f>187292191-100000000</f>
        <v>87292191</v>
      </c>
      <c r="Q31" s="11">
        <v>340552510.16000003</v>
      </c>
      <c r="R31" s="4">
        <v>340552510.16000003</v>
      </c>
      <c r="S31" s="4">
        <v>340552510.16000003</v>
      </c>
      <c r="T31" s="23">
        <v>340552510.16000003</v>
      </c>
      <c r="U31" s="39">
        <v>340552510.16000003</v>
      </c>
      <c r="V31" s="39">
        <v>340552510.16000003</v>
      </c>
      <c r="W31" s="39">
        <v>340552510.16000003</v>
      </c>
      <c r="X31" s="39">
        <v>340552510.16000003</v>
      </c>
      <c r="Y31" s="23">
        <v>340552510.16000003</v>
      </c>
      <c r="Z31" s="39">
        <v>340552510.16000003</v>
      </c>
      <c r="AA31" s="39">
        <v>340552510.16000003</v>
      </c>
      <c r="AB31" s="39">
        <v>340552510.16000003</v>
      </c>
      <c r="AC31" s="39">
        <v>340552510.16000003</v>
      </c>
      <c r="AD31" s="4">
        <v>340552510.16000003</v>
      </c>
      <c r="AE31" s="4">
        <v>340552510.16000003</v>
      </c>
      <c r="AF31" s="4">
        <v>17316407.75</v>
      </c>
      <c r="AG31" s="4">
        <v>17316407.75</v>
      </c>
      <c r="AH31" s="4">
        <v>17316407.75</v>
      </c>
      <c r="AI31" s="4">
        <v>17316407.75</v>
      </c>
      <c r="AJ31" s="23">
        <v>17316407.75</v>
      </c>
      <c r="AK31" s="39">
        <v>17316407.75</v>
      </c>
      <c r="AL31" s="39">
        <v>17316407.75</v>
      </c>
      <c r="AM31" s="39">
        <v>17316407.75</v>
      </c>
      <c r="AN31" s="39">
        <v>17316407.75</v>
      </c>
      <c r="AO31" s="4">
        <v>17316407.75</v>
      </c>
      <c r="AP31" s="23">
        <v>17316407.75</v>
      </c>
      <c r="AQ31" s="4">
        <v>17316407.75</v>
      </c>
      <c r="AR31" s="4">
        <v>17316407.75</v>
      </c>
      <c r="AS31" s="4">
        <v>17316407.75</v>
      </c>
      <c r="AT31" s="4">
        <v>17316407.75</v>
      </c>
      <c r="AU31" s="4">
        <v>17316407.75</v>
      </c>
      <c r="AV31" s="23">
        <v>17316407.75</v>
      </c>
      <c r="AW31" s="4">
        <v>17316407.75</v>
      </c>
      <c r="AX31" s="4">
        <v>17316407.75</v>
      </c>
      <c r="AY31" s="4">
        <v>17316407.75</v>
      </c>
      <c r="AZ31" s="4">
        <v>17316407.75</v>
      </c>
      <c r="BA31" s="4">
        <v>17316407.75</v>
      </c>
      <c r="BB31" s="23">
        <v>17316407.75</v>
      </c>
      <c r="BC31" s="4">
        <v>17316407.75</v>
      </c>
      <c r="BD31" s="4">
        <v>17316407.75</v>
      </c>
      <c r="BE31" s="4">
        <v>17316407.75</v>
      </c>
      <c r="BF31" s="4">
        <v>17316407.75</v>
      </c>
      <c r="BG31" s="4">
        <v>17575211.109999999</v>
      </c>
      <c r="BH31" s="4">
        <v>17575211.109999999</v>
      </c>
      <c r="BI31" s="23">
        <v>17575211.109999999</v>
      </c>
      <c r="BJ31" s="35">
        <v>17575211.109999999</v>
      </c>
      <c r="BK31" s="4">
        <v>17575211.109999999</v>
      </c>
      <c r="BL31" s="35">
        <v>17575211.109999999</v>
      </c>
      <c r="BM31" s="4">
        <v>17575211.109999999</v>
      </c>
      <c r="BN31" s="4">
        <v>17575211.109999999</v>
      </c>
      <c r="BO31" s="4">
        <v>17575211.109999999</v>
      </c>
      <c r="BP31" s="4">
        <v>17575211.109999999</v>
      </c>
      <c r="BQ31" s="35">
        <v>17575211.109999999</v>
      </c>
      <c r="BR31" s="4">
        <v>17575211.109999999</v>
      </c>
      <c r="BS31" s="35">
        <v>17575211.109999999</v>
      </c>
      <c r="BT31" s="4">
        <v>17575211.109999999</v>
      </c>
      <c r="BU31" s="4">
        <v>17575211.109999999</v>
      </c>
      <c r="BV31" s="4">
        <v>17575211.109999999</v>
      </c>
      <c r="BW31" s="4">
        <v>17575211.109999999</v>
      </c>
      <c r="BX31" s="4">
        <v>17575211.109999999</v>
      </c>
      <c r="BY31" s="4">
        <v>17575211.109999999</v>
      </c>
      <c r="BZ31" s="4">
        <v>17575211.109999999</v>
      </c>
      <c r="CA31" s="4">
        <v>17575211.109999999</v>
      </c>
      <c r="CB31" s="4">
        <v>17575211.109999999</v>
      </c>
      <c r="CC31" s="4">
        <v>17575211.109999999</v>
      </c>
      <c r="CD31" s="4">
        <v>17575211.109999999</v>
      </c>
      <c r="CE31" s="4">
        <v>17575211.109999999</v>
      </c>
      <c r="CF31" s="4">
        <v>17575211.109999999</v>
      </c>
      <c r="CG31" s="4">
        <v>17575211.109999999</v>
      </c>
      <c r="CH31" s="4">
        <v>17575211.109999999</v>
      </c>
      <c r="CI31" s="4">
        <v>17575211.109999999</v>
      </c>
      <c r="CJ31" s="35">
        <v>17575211.109999999</v>
      </c>
      <c r="CK31" s="4">
        <v>17575211.109999999</v>
      </c>
      <c r="CL31" s="35">
        <v>17575211.109999999</v>
      </c>
      <c r="CM31" s="4">
        <v>17575211.109999999</v>
      </c>
      <c r="CN31" s="4">
        <v>17575211.109999999</v>
      </c>
      <c r="CO31" s="4">
        <v>17575211.109999999</v>
      </c>
      <c r="CP31" s="4">
        <v>17575211.109999999</v>
      </c>
      <c r="CQ31" s="4">
        <v>17575211.109999999</v>
      </c>
      <c r="CR31" s="4">
        <v>17575211.109999999</v>
      </c>
      <c r="CS31" s="4">
        <v>17575211.109999999</v>
      </c>
    </row>
    <row r="32" spans="1:97" x14ac:dyDescent="0.25">
      <c r="A32" t="s">
        <v>34</v>
      </c>
      <c r="B32" s="2"/>
      <c r="C32" s="23">
        <v>1829290125.5799999</v>
      </c>
      <c r="D32" s="4">
        <v>1829290125.5799999</v>
      </c>
      <c r="E32" s="4">
        <v>1829290125.5799999</v>
      </c>
      <c r="F32" s="4">
        <v>1829290125.5799999</v>
      </c>
      <c r="G32" s="7">
        <f>1829290125.58</f>
        <v>1829290125.5799999</v>
      </c>
      <c r="H32" s="7">
        <f>1829290125.58-200000000</f>
        <v>1629290125.5799999</v>
      </c>
      <c r="I32" s="7">
        <f>1829290125.58+200000000</f>
        <v>2029290125.5799999</v>
      </c>
      <c r="J32" s="4">
        <f>1829290125.58</f>
        <v>1829290125.5799999</v>
      </c>
      <c r="K32" s="4">
        <f>1829290125.58</f>
        <v>1829290125.5799999</v>
      </c>
      <c r="L32" s="23">
        <f>1829290125.58</f>
        <v>1829290125.5799999</v>
      </c>
      <c r="M32" s="4">
        <v>1829290125.5799999</v>
      </c>
      <c r="N32" s="4">
        <v>1829290125.5799999</v>
      </c>
      <c r="O32" s="23">
        <v>1829290125.5799999</v>
      </c>
      <c r="P32" s="4">
        <v>1829290125.5799999</v>
      </c>
      <c r="Q32" s="7">
        <f>1851067483.98+50000000</f>
        <v>1901067483.98</v>
      </c>
      <c r="R32" s="4">
        <f>1851067483.98-50000000</f>
        <v>1801067483.98</v>
      </c>
      <c r="S32" s="4">
        <v>1851067483.98</v>
      </c>
      <c r="T32" s="23">
        <v>1851067483.98</v>
      </c>
      <c r="U32" s="39">
        <v>1851067483.98</v>
      </c>
      <c r="V32" s="39">
        <v>1851067483.98</v>
      </c>
      <c r="W32" s="39">
        <v>1851067483.98</v>
      </c>
      <c r="X32" s="39">
        <v>1851067483.98</v>
      </c>
      <c r="Y32" s="23">
        <v>1851067483.98</v>
      </c>
      <c r="Z32" s="39">
        <v>1851067483.98</v>
      </c>
      <c r="AA32" s="39">
        <v>1851067483.98</v>
      </c>
      <c r="AB32" s="39">
        <v>1851067483.98</v>
      </c>
      <c r="AC32" s="39">
        <v>1851067483.98</v>
      </c>
      <c r="AD32" s="4">
        <v>1851067483.98</v>
      </c>
      <c r="AE32" s="4">
        <v>1851067483.98</v>
      </c>
      <c r="AF32" s="4">
        <v>2973538743.5599999</v>
      </c>
      <c r="AG32" s="4">
        <v>2973538743.5599999</v>
      </c>
      <c r="AH32" s="4">
        <v>2973538743.5599999</v>
      </c>
      <c r="AI32" s="4">
        <v>2973538743.5599999</v>
      </c>
      <c r="AJ32" s="23">
        <v>2973538743.5599999</v>
      </c>
      <c r="AK32" s="39">
        <v>2973538743.5599999</v>
      </c>
      <c r="AL32" s="39">
        <v>2973538743.5599999</v>
      </c>
      <c r="AM32" s="39">
        <v>2973538743.5599999</v>
      </c>
      <c r="AN32" s="39">
        <v>2973538743.5599999</v>
      </c>
      <c r="AO32" s="4">
        <v>2973538743.5599999</v>
      </c>
      <c r="AP32" s="23">
        <v>2973538743.5599999</v>
      </c>
      <c r="AQ32" s="4">
        <v>2973538743.5599999</v>
      </c>
      <c r="AR32" s="4">
        <v>2973538743.5599999</v>
      </c>
      <c r="AS32" s="4">
        <v>2973538743.5599999</v>
      </c>
      <c r="AT32" s="4">
        <v>2973538743.5599999</v>
      </c>
      <c r="AU32" s="4">
        <v>2973538743.5599999</v>
      </c>
      <c r="AV32" s="23">
        <v>2973538743.5599999</v>
      </c>
      <c r="AW32" s="4">
        <v>2973538743.5599999</v>
      </c>
      <c r="AX32" s="4">
        <v>2973538743.5599999</v>
      </c>
      <c r="AY32" s="4">
        <v>2973538743.5599999</v>
      </c>
      <c r="AZ32" s="4">
        <v>2973538743.5599999</v>
      </c>
      <c r="BA32" s="4">
        <v>2973538743.5599999</v>
      </c>
      <c r="BB32" s="23">
        <v>2973538743.5599999</v>
      </c>
      <c r="BC32" s="4">
        <v>2973538743.5599999</v>
      </c>
      <c r="BD32" s="4">
        <v>2973538743.5599999</v>
      </c>
      <c r="BE32" s="4">
        <v>2973538743.5599999</v>
      </c>
      <c r="BF32" s="4">
        <v>2973538743.5599999</v>
      </c>
      <c r="BG32" s="4">
        <v>3067142374.29</v>
      </c>
      <c r="BH32" s="4">
        <v>3067142374.29</v>
      </c>
      <c r="BI32" s="23">
        <v>3067142374.29</v>
      </c>
      <c r="BJ32" s="35">
        <v>3067142374.29</v>
      </c>
      <c r="BK32" s="4">
        <v>3067142374.29</v>
      </c>
      <c r="BL32" s="35">
        <v>3067142374.29</v>
      </c>
      <c r="BM32" s="4">
        <v>3067142374.29</v>
      </c>
      <c r="BN32" s="4">
        <v>3067142374.29</v>
      </c>
      <c r="BO32" s="4">
        <v>3067142374.29</v>
      </c>
      <c r="BP32" s="4">
        <v>3067142374.29</v>
      </c>
      <c r="BQ32" s="35">
        <v>3067142374.29</v>
      </c>
      <c r="BR32" s="4">
        <v>3067142374.29</v>
      </c>
      <c r="BS32" s="35">
        <v>3067142374.29</v>
      </c>
      <c r="BT32" s="4">
        <v>3067142374.29</v>
      </c>
      <c r="BU32" s="4">
        <v>3067142374.29</v>
      </c>
      <c r="BV32" s="4">
        <v>3067142374.29</v>
      </c>
      <c r="BW32" s="4">
        <v>3067142374.29</v>
      </c>
      <c r="BX32" s="4">
        <v>3067142374.29</v>
      </c>
      <c r="BY32" s="4">
        <v>3067142374.29</v>
      </c>
      <c r="BZ32" s="4">
        <v>3067142374.29</v>
      </c>
      <c r="CA32" s="4">
        <v>3067142374.29</v>
      </c>
      <c r="CB32" s="4">
        <v>3067142374.29</v>
      </c>
      <c r="CC32" s="4">
        <v>3067142374.29</v>
      </c>
      <c r="CD32" s="4">
        <v>3067142374.29</v>
      </c>
      <c r="CE32" s="4">
        <v>3067142374.29</v>
      </c>
      <c r="CF32" s="4">
        <v>3067142374.29</v>
      </c>
      <c r="CG32" s="4">
        <v>3067142374.29</v>
      </c>
      <c r="CH32" s="4">
        <v>3067142374.29</v>
      </c>
      <c r="CI32" s="4">
        <v>3067142374.29</v>
      </c>
      <c r="CJ32" s="35">
        <v>3067142374.29</v>
      </c>
      <c r="CK32" s="4">
        <v>3067142374.29</v>
      </c>
      <c r="CL32" s="35">
        <v>3067142374.29</v>
      </c>
      <c r="CM32" s="4">
        <v>3067142374.29</v>
      </c>
      <c r="CN32" s="4">
        <v>3067142374.29</v>
      </c>
      <c r="CO32" s="4">
        <v>3067142374.29</v>
      </c>
      <c r="CP32" s="4">
        <v>3067142374.29</v>
      </c>
      <c r="CQ32" s="4">
        <v>3067142374.29</v>
      </c>
      <c r="CR32" s="4">
        <v>3067142374.29</v>
      </c>
      <c r="CS32" s="4">
        <v>3067142374.29</v>
      </c>
    </row>
    <row r="33" spans="1:97" x14ac:dyDescent="0.25">
      <c r="A33" s="6" t="s">
        <v>166</v>
      </c>
      <c r="B33" s="2"/>
      <c r="C33" s="23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f>50000000</f>
        <v>50000000</v>
      </c>
      <c r="K33" s="4">
        <f>50000000+20000000</f>
        <v>70000000</v>
      </c>
      <c r="L33" s="23">
        <f>50000000-20000000</f>
        <v>30000000</v>
      </c>
      <c r="M33" s="4">
        <v>0</v>
      </c>
      <c r="N33" s="4">
        <v>0</v>
      </c>
      <c r="O33" s="23">
        <v>0</v>
      </c>
      <c r="P33" s="4">
        <v>0</v>
      </c>
      <c r="Q33" s="4">
        <v>50000000</v>
      </c>
      <c r="R33" s="4">
        <v>50000000</v>
      </c>
      <c r="S33" s="4">
        <f>50000000+10000000</f>
        <v>60000000</v>
      </c>
      <c r="T33" s="23">
        <f>50000000-10000000</f>
        <v>40000000</v>
      </c>
      <c r="U33" s="39">
        <v>50000000</v>
      </c>
      <c r="V33" s="39">
        <v>50000000</v>
      </c>
      <c r="W33" s="39">
        <v>50000000</v>
      </c>
      <c r="X33" s="39">
        <v>50000000</v>
      </c>
      <c r="Y33" s="23">
        <v>50000000</v>
      </c>
      <c r="Z33" s="39">
        <v>50000000</v>
      </c>
      <c r="AA33" s="39">
        <v>50000000</v>
      </c>
      <c r="AB33" s="39">
        <v>50000000</v>
      </c>
      <c r="AC33" s="39">
        <v>50000000</v>
      </c>
      <c r="AD33" s="4">
        <v>50000000</v>
      </c>
      <c r="AE33" s="4">
        <v>50000000</v>
      </c>
      <c r="AF33" s="4">
        <v>0</v>
      </c>
      <c r="AG33" s="4">
        <v>0</v>
      </c>
      <c r="AH33" s="4">
        <v>0</v>
      </c>
      <c r="AI33" s="4">
        <v>0</v>
      </c>
      <c r="AJ33" s="23">
        <v>0</v>
      </c>
      <c r="AK33" s="39">
        <v>0</v>
      </c>
      <c r="AL33" s="39">
        <v>0</v>
      </c>
      <c r="AM33" s="39">
        <v>0</v>
      </c>
      <c r="AN33" s="39">
        <v>0</v>
      </c>
      <c r="AO33" s="4">
        <v>0</v>
      </c>
      <c r="AP33" s="23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23">
        <v>0</v>
      </c>
      <c r="AW33" s="4">
        <v>0</v>
      </c>
      <c r="AX33" s="4">
        <v>0</v>
      </c>
      <c r="AY33" s="4">
        <v>0</v>
      </c>
      <c r="AZ33" s="4">
        <v>0</v>
      </c>
      <c r="BA33" s="4">
        <v>0</v>
      </c>
      <c r="BB33" s="23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23">
        <v>0</v>
      </c>
      <c r="BJ33" s="35">
        <v>0</v>
      </c>
      <c r="BK33" s="4">
        <v>0</v>
      </c>
      <c r="BL33" s="35">
        <v>0</v>
      </c>
      <c r="BM33" s="4">
        <v>0</v>
      </c>
      <c r="BN33" s="4">
        <v>0</v>
      </c>
      <c r="BO33" s="4">
        <v>0</v>
      </c>
      <c r="BP33" s="4">
        <v>0</v>
      </c>
      <c r="BQ33" s="35">
        <v>0</v>
      </c>
      <c r="BR33" s="4">
        <v>0</v>
      </c>
      <c r="BS33" s="35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35">
        <v>0</v>
      </c>
      <c r="CK33" s="4">
        <v>0</v>
      </c>
      <c r="CL33" s="35">
        <v>0</v>
      </c>
      <c r="CM33" s="4">
        <v>0</v>
      </c>
      <c r="CN33" s="4">
        <v>0</v>
      </c>
      <c r="CO33" s="4">
        <v>0</v>
      </c>
      <c r="CP33" s="4">
        <v>0</v>
      </c>
      <c r="CQ33" s="4">
        <v>0</v>
      </c>
      <c r="CR33" s="4">
        <v>0</v>
      </c>
      <c r="CS33" s="4">
        <v>0</v>
      </c>
    </row>
    <row r="34" spans="1:97" x14ac:dyDescent="0.25">
      <c r="B34" s="2"/>
      <c r="C34" s="23"/>
      <c r="D34" s="4"/>
      <c r="E34" s="4"/>
      <c r="F34" s="4"/>
      <c r="G34" s="4"/>
      <c r="H34" s="4"/>
      <c r="I34" s="4"/>
      <c r="J34" s="4"/>
      <c r="K34" s="4"/>
      <c r="L34" s="23"/>
      <c r="M34" s="4"/>
      <c r="N34" s="4"/>
      <c r="O34" s="23"/>
      <c r="P34" s="4"/>
      <c r="Q34" s="4"/>
      <c r="R34" s="4"/>
      <c r="S34" s="4"/>
      <c r="T34" s="23"/>
      <c r="U34" s="39"/>
      <c r="V34" s="39"/>
      <c r="W34" s="39"/>
      <c r="X34" s="39"/>
      <c r="Y34" s="23"/>
      <c r="Z34" s="39"/>
      <c r="AA34" s="39"/>
      <c r="AB34" s="39"/>
      <c r="AC34" s="39"/>
      <c r="AD34" s="4"/>
      <c r="AE34" s="4"/>
      <c r="AF34" s="4"/>
      <c r="AG34" s="4"/>
      <c r="AH34" s="4"/>
      <c r="AI34" s="4"/>
      <c r="AJ34" s="23"/>
      <c r="AK34" s="39"/>
      <c r="AL34" s="39"/>
      <c r="AM34" s="39"/>
      <c r="AN34" s="39"/>
      <c r="AO34" s="4"/>
      <c r="AP34" s="23"/>
      <c r="AQ34" s="4"/>
      <c r="AR34" s="4"/>
      <c r="AS34" s="4"/>
      <c r="AT34" s="4"/>
      <c r="AU34" s="4"/>
      <c r="AV34" s="23"/>
      <c r="AW34" s="4"/>
      <c r="AX34" s="4"/>
      <c r="AY34" s="4"/>
      <c r="AZ34" s="4"/>
      <c r="BA34" s="4"/>
      <c r="BB34" s="23"/>
      <c r="BC34" s="4"/>
      <c r="BD34" s="4"/>
      <c r="BE34" s="4"/>
      <c r="BF34" s="4"/>
      <c r="BG34" s="4"/>
      <c r="BH34" s="4"/>
      <c r="BI34" s="23"/>
      <c r="BJ34" s="35">
        <f>BJ36-BK36</f>
        <v>30000000</v>
      </c>
      <c r="BK34" s="4">
        <f t="shared" ref="BK34:CE34" si="21">BK36-BL36</f>
        <v>-30000000</v>
      </c>
      <c r="BL34" s="35">
        <f t="shared" si="21"/>
        <v>30000000</v>
      </c>
      <c r="BM34" s="4">
        <f t="shared" si="21"/>
        <v>-14999999.999999881</v>
      </c>
      <c r="BN34" s="16">
        <f>BN37-BO37</f>
        <v>80000000</v>
      </c>
      <c r="BO34" s="4"/>
      <c r="BP34" s="16">
        <f>BP38-BQ38</f>
        <v>30000000</v>
      </c>
      <c r="BQ34" s="35">
        <f t="shared" si="21"/>
        <v>0</v>
      </c>
      <c r="BR34" s="16">
        <f>BR38-BS38</f>
        <v>30000000</v>
      </c>
      <c r="BS34" s="35">
        <f>BS36-BU36</f>
        <v>0</v>
      </c>
      <c r="BT34" s="16">
        <f>BT39-BU39</f>
        <v>5000000</v>
      </c>
      <c r="BU34" s="16">
        <f>BU39-BV39</f>
        <v>-10000000</v>
      </c>
      <c r="BV34" s="4">
        <f>BV36-BX36</f>
        <v>0</v>
      </c>
      <c r="BW34" s="16">
        <f>BW39-BX39</f>
        <v>5000000</v>
      </c>
      <c r="BX34" s="16">
        <f>BX39-BY39</f>
        <v>-10000000</v>
      </c>
      <c r="BY34" s="4">
        <f>BY36-CA36</f>
        <v>0</v>
      </c>
      <c r="BZ34" s="16">
        <f>BZ40-CA40</f>
        <v>10000000</v>
      </c>
      <c r="CA34" s="16">
        <f>CA40-CB40</f>
        <v>-20000000</v>
      </c>
      <c r="CB34" s="4">
        <f>CB36-CD36</f>
        <v>0</v>
      </c>
      <c r="CC34" s="16">
        <f>CC40-CD40</f>
        <v>10000000</v>
      </c>
      <c r="CD34" s="16">
        <f>CD40-CE40</f>
        <v>-20000000</v>
      </c>
      <c r="CE34" s="4">
        <f t="shared" si="21"/>
        <v>0</v>
      </c>
      <c r="CF34" s="4"/>
      <c r="CG34" s="4"/>
      <c r="CH34" s="4"/>
      <c r="CI34" s="4"/>
      <c r="CJ34" s="35"/>
      <c r="CK34" s="4"/>
      <c r="CL34" s="35"/>
      <c r="CM34" s="4"/>
      <c r="CN34" s="4"/>
      <c r="CO34" s="4"/>
      <c r="CP34" s="4"/>
      <c r="CQ34" s="4"/>
      <c r="CR34" s="4"/>
      <c r="CS34" s="4"/>
    </row>
    <row r="35" spans="1:97" x14ac:dyDescent="0.25">
      <c r="A35" s="1" t="s">
        <v>35</v>
      </c>
      <c r="B35" s="2" t="s">
        <v>36</v>
      </c>
      <c r="C35" s="23">
        <v>3559023159.6799998</v>
      </c>
      <c r="D35" s="4">
        <v>3559023159.6799998</v>
      </c>
      <c r="E35" s="4">
        <v>3559023159.6799998</v>
      </c>
      <c r="F35" s="4">
        <v>3559023159.6799998</v>
      </c>
      <c r="G35" s="4">
        <v>3559023159.6799998</v>
      </c>
      <c r="H35" s="4">
        <v>3559023159.6799998</v>
      </c>
      <c r="I35" s="4">
        <v>3559023159.6799998</v>
      </c>
      <c r="J35" s="4">
        <v>3559023159.6799998</v>
      </c>
      <c r="K35" s="4">
        <v>3559023159.6799998</v>
      </c>
      <c r="L35" s="23">
        <v>3559023159.6799998</v>
      </c>
      <c r="M35" s="4">
        <v>3559023159.6799998</v>
      </c>
      <c r="N35" s="4">
        <v>3559023159.6799998</v>
      </c>
      <c r="O35" s="23">
        <v>3559023159.6799998</v>
      </c>
      <c r="P35" s="4">
        <v>3559023159.6799998</v>
      </c>
      <c r="Q35" s="4">
        <v>3494389118.5700002</v>
      </c>
      <c r="R35" s="4">
        <v>3494389118.5700002</v>
      </c>
      <c r="S35" s="4">
        <v>3494389118.5700002</v>
      </c>
      <c r="T35" s="23">
        <v>3494389118.5700002</v>
      </c>
      <c r="U35" s="39">
        <v>3494389118.5700002</v>
      </c>
      <c r="V35" s="39">
        <v>3494389118.5700002</v>
      </c>
      <c r="W35" s="39">
        <v>3494389118.5700002</v>
      </c>
      <c r="X35" s="39">
        <v>3494389118.5700002</v>
      </c>
      <c r="Y35" s="23">
        <v>3494389118.5700002</v>
      </c>
      <c r="Z35" s="39">
        <v>3494389118.5700002</v>
      </c>
      <c r="AA35" s="39">
        <v>3494389118.5700002</v>
      </c>
      <c r="AB35" s="39">
        <v>3494389118.5700002</v>
      </c>
      <c r="AC35" s="39">
        <v>3494389118.5700002</v>
      </c>
      <c r="AD35" s="11">
        <v>3494389118.5700002</v>
      </c>
      <c r="AE35" s="4">
        <v>3494389118.5700002</v>
      </c>
      <c r="AF35" s="4">
        <v>3286858363.5299997</v>
      </c>
      <c r="AG35" s="4">
        <v>3286858363.5299997</v>
      </c>
      <c r="AH35" s="4">
        <v>3286858363.5299997</v>
      </c>
      <c r="AI35" s="4">
        <v>3286858363.5299997</v>
      </c>
      <c r="AJ35" s="23">
        <v>3286858363.5299997</v>
      </c>
      <c r="AK35" s="39">
        <v>3286858363.5299997</v>
      </c>
      <c r="AL35" s="39">
        <v>3286858363.5299997</v>
      </c>
      <c r="AM35" s="39">
        <v>3286858363.5299997</v>
      </c>
      <c r="AN35" s="39">
        <v>3286858363.5299997</v>
      </c>
      <c r="AO35" s="4">
        <v>3286858363.5299997</v>
      </c>
      <c r="AP35" s="23">
        <v>3286858363.5299997</v>
      </c>
      <c r="AQ35" s="4">
        <v>3286858363.5299997</v>
      </c>
      <c r="AR35" s="4">
        <v>3286858363.5299997</v>
      </c>
      <c r="AS35" s="4">
        <v>3286858363.5299997</v>
      </c>
      <c r="AT35" s="4">
        <v>3286858363.5299997</v>
      </c>
      <c r="AU35" s="4">
        <v>3286858363.5299997</v>
      </c>
      <c r="AV35" s="23">
        <v>3286858363.5299997</v>
      </c>
      <c r="AW35" s="4">
        <v>3286858363.5299997</v>
      </c>
      <c r="AX35" s="4">
        <v>3286858363.5299997</v>
      </c>
      <c r="AY35" s="4">
        <v>3286858363.5299997</v>
      </c>
      <c r="AZ35" s="4">
        <v>3286858363.5299997</v>
      </c>
      <c r="BA35" s="4">
        <v>3286858363.5299997</v>
      </c>
      <c r="BB35" s="23">
        <v>3286858363.5299997</v>
      </c>
      <c r="BC35" s="4">
        <v>3286858363.5299997</v>
      </c>
      <c r="BD35" s="4">
        <v>3286858363.5299997</v>
      </c>
      <c r="BE35" s="4">
        <v>3286858363.5299997</v>
      </c>
      <c r="BF35" s="4">
        <v>3286858363.5299997</v>
      </c>
      <c r="BG35" s="4">
        <v>3317852468.5499997</v>
      </c>
      <c r="BH35" s="4">
        <v>3317852468.5499997</v>
      </c>
      <c r="BI35" s="23">
        <v>3317852468.5499997</v>
      </c>
      <c r="BJ35" s="35">
        <v>3317852468.5499997</v>
      </c>
      <c r="BK35" s="4">
        <v>3317852468.5499997</v>
      </c>
      <c r="BL35" s="35">
        <v>3317852468.5499997</v>
      </c>
      <c r="BM35" s="4">
        <v>3317852468.5499997</v>
      </c>
      <c r="BN35" s="4">
        <v>3317852468.5499997</v>
      </c>
      <c r="BO35" s="4">
        <v>3317852468.5499997</v>
      </c>
      <c r="BP35" s="4">
        <v>3317852468.5499997</v>
      </c>
      <c r="BQ35" s="35">
        <v>3317852468.5499997</v>
      </c>
      <c r="BR35" s="4">
        <v>3317852468.5499997</v>
      </c>
      <c r="BS35" s="35">
        <v>3317852468.5499997</v>
      </c>
      <c r="BT35" s="4">
        <v>3317852468.5499997</v>
      </c>
      <c r="BU35" s="4">
        <v>3317852468.5499997</v>
      </c>
      <c r="BV35" s="4">
        <v>3317852468.5499997</v>
      </c>
      <c r="BW35" s="4">
        <v>3317852468.5499997</v>
      </c>
      <c r="BX35" s="4">
        <v>3317852468.5499997</v>
      </c>
      <c r="BY35" s="4">
        <v>3317852468.5499997</v>
      </c>
      <c r="BZ35" s="4">
        <v>3317852468.5499997</v>
      </c>
      <c r="CA35" s="4">
        <v>3317852468.5499997</v>
      </c>
      <c r="CB35" s="4">
        <v>3317852468.5499997</v>
      </c>
      <c r="CC35" s="4">
        <v>3317852468.5499997</v>
      </c>
      <c r="CD35" s="4">
        <v>3317852468.5499997</v>
      </c>
      <c r="CE35" s="4">
        <v>3317852468.5499997</v>
      </c>
      <c r="CF35" s="4">
        <v>3317852468.5499997</v>
      </c>
      <c r="CG35" s="4">
        <v>3317852468.5499997</v>
      </c>
      <c r="CH35" s="4">
        <v>3317852468.5499997</v>
      </c>
      <c r="CI35" s="4">
        <v>3317852468.5499997</v>
      </c>
      <c r="CJ35" s="35">
        <v>3317852468.5499997</v>
      </c>
      <c r="CK35" s="4">
        <v>3317852468.5499997</v>
      </c>
      <c r="CL35" s="35">
        <v>3317852468.5499997</v>
      </c>
      <c r="CM35" s="4">
        <v>3317852468.5499997</v>
      </c>
      <c r="CN35" s="4">
        <v>3317852468.5499997</v>
      </c>
      <c r="CO35" s="4">
        <v>3317852468.5499997</v>
      </c>
      <c r="CP35" s="4">
        <v>3317852468.5499997</v>
      </c>
      <c r="CQ35" s="4">
        <v>3317852468.5499997</v>
      </c>
      <c r="CR35" s="4">
        <v>3317852468.5499997</v>
      </c>
      <c r="CS35" s="4">
        <v>3317852468.5499997</v>
      </c>
    </row>
    <row r="36" spans="1:97" x14ac:dyDescent="0.25">
      <c r="A36" t="s">
        <v>37</v>
      </c>
      <c r="B36" s="2" t="s">
        <v>38</v>
      </c>
      <c r="C36" s="23">
        <f>978743078.93</f>
        <v>978743078.92999995</v>
      </c>
      <c r="D36" s="4">
        <f>978743078.93</f>
        <v>978743078.92999995</v>
      </c>
      <c r="E36" s="4">
        <v>978743078.92999995</v>
      </c>
      <c r="F36" s="4">
        <v>978743078.92999995</v>
      </c>
      <c r="G36" s="4">
        <v>978743078.92999995</v>
      </c>
      <c r="H36" s="4">
        <v>978743078.92999995</v>
      </c>
      <c r="I36" s="4">
        <v>978743078.92999995</v>
      </c>
      <c r="J36" s="4">
        <v>978743078.92999995</v>
      </c>
      <c r="K36" s="4">
        <v>978743078.92999995</v>
      </c>
      <c r="L36" s="23">
        <v>978743078.92999995</v>
      </c>
      <c r="M36" s="4">
        <v>978743078.92999995</v>
      </c>
      <c r="N36" s="4">
        <v>978743078.92999995</v>
      </c>
      <c r="O36" s="23">
        <v>978743078.92999995</v>
      </c>
      <c r="P36" s="4">
        <v>978743078.92999995</v>
      </c>
      <c r="Q36" s="4">
        <v>1004907602.0400002</v>
      </c>
      <c r="R36" s="4">
        <v>1004907602.0400002</v>
      </c>
      <c r="S36" s="4">
        <v>1004907602.0400002</v>
      </c>
      <c r="T36" s="23">
        <v>1004907602.0400002</v>
      </c>
      <c r="U36" s="39">
        <f>1004907602.04+500000000</f>
        <v>1504907602.04</v>
      </c>
      <c r="V36" s="39">
        <f>1004907602.04-500000000</f>
        <v>504907602.03999996</v>
      </c>
      <c r="W36" s="39">
        <f>1004907602.04</f>
        <v>1004907602.04</v>
      </c>
      <c r="X36" s="39">
        <f>1004907602.04+20000000</f>
        <v>1024907602.04</v>
      </c>
      <c r="Y36" s="23">
        <f>1004907602.04-20000000</f>
        <v>984907602.03999996</v>
      </c>
      <c r="Z36" s="39">
        <f>1004907602.04</f>
        <v>1004907602.04</v>
      </c>
      <c r="AA36" s="39">
        <f>1004907602.04-20000000</f>
        <v>984907602.03999996</v>
      </c>
      <c r="AB36" s="39">
        <f>1004907602.04+20000000</f>
        <v>1024907602.04</v>
      </c>
      <c r="AC36" s="39">
        <f>1004907602.04</f>
        <v>1004907602.04</v>
      </c>
      <c r="AD36" s="7">
        <f>1004907602.04+30000000</f>
        <v>1034907602.04</v>
      </c>
      <c r="AE36" s="7">
        <f>1004907602.04-30000000</f>
        <v>974907602.03999996</v>
      </c>
      <c r="AF36" s="4">
        <v>986516338.58999991</v>
      </c>
      <c r="AG36" s="4">
        <v>986516338.58999991</v>
      </c>
      <c r="AH36" s="4">
        <v>986516338.58999991</v>
      </c>
      <c r="AI36" s="4">
        <v>986516338.58999991</v>
      </c>
      <c r="AJ36" s="23">
        <v>986516338.58999991</v>
      </c>
      <c r="AK36" s="39">
        <v>986516338.58999991</v>
      </c>
      <c r="AL36" s="39">
        <v>986516338.58999991</v>
      </c>
      <c r="AM36" s="39">
        <v>986516338.58999991</v>
      </c>
      <c r="AN36" s="39">
        <v>986516338.58999991</v>
      </c>
      <c r="AO36" s="11">
        <v>986516338.58999991</v>
      </c>
      <c r="AP36" s="23">
        <v>986516338.58999991</v>
      </c>
      <c r="AQ36" s="4">
        <v>986516338.58999991</v>
      </c>
      <c r="AR36" s="11">
        <v>986516338.58999991</v>
      </c>
      <c r="AS36" s="11">
        <v>986516338.58999991</v>
      </c>
      <c r="AT36" s="4">
        <v>986516338.58999991</v>
      </c>
      <c r="AU36" s="4">
        <v>986516338.58999991</v>
      </c>
      <c r="AV36" s="23">
        <v>986516338.58999991</v>
      </c>
      <c r="AW36" s="4">
        <v>986516338.58999991</v>
      </c>
      <c r="AX36" s="4">
        <v>986516338.58999991</v>
      </c>
      <c r="AY36" s="4">
        <v>986516338.58999991</v>
      </c>
      <c r="AZ36" s="4">
        <v>986516338.58999991</v>
      </c>
      <c r="BA36" s="4">
        <v>986516338.58999991</v>
      </c>
      <c r="BB36" s="23">
        <v>986516338.58999991</v>
      </c>
      <c r="BC36" s="4">
        <v>986516338.58999991</v>
      </c>
      <c r="BD36" s="4">
        <v>986516338.58999991</v>
      </c>
      <c r="BE36" s="4">
        <v>986516338.58999991</v>
      </c>
      <c r="BF36" s="4">
        <v>986516338.58999991</v>
      </c>
      <c r="BG36" s="4">
        <v>1013804460.3299999</v>
      </c>
      <c r="BH36" s="4">
        <v>1013804460.3299999</v>
      </c>
      <c r="BI36" s="23">
        <v>1013804460.3299999</v>
      </c>
      <c r="BJ36" s="35">
        <f>1013804460.33+15000000</f>
        <v>1028804460.33</v>
      </c>
      <c r="BK36" s="9">
        <f>1013804460.33-15000000</f>
        <v>998804460.33000004</v>
      </c>
      <c r="BL36" s="35">
        <f>1013804460.33+15000000</f>
        <v>1028804460.33</v>
      </c>
      <c r="BM36" s="9">
        <f>1013804460.33-15000000</f>
        <v>998804460.33000004</v>
      </c>
      <c r="BN36" s="4">
        <v>1013804460.3299999</v>
      </c>
      <c r="BO36" s="4">
        <v>1013804460.3299999</v>
      </c>
      <c r="BP36" s="4">
        <v>1013804460.3299999</v>
      </c>
      <c r="BQ36" s="35">
        <v>1013804460.3299999</v>
      </c>
      <c r="BR36" s="4">
        <v>1013804460.3299999</v>
      </c>
      <c r="BS36" s="35">
        <v>1013804460.3299999</v>
      </c>
      <c r="BT36" s="4">
        <v>1013804460.3299999</v>
      </c>
      <c r="BU36" s="4">
        <v>1013804460.3299999</v>
      </c>
      <c r="BV36" s="4">
        <v>1013804460.3299999</v>
      </c>
      <c r="BW36" s="4">
        <v>1013804460.3299999</v>
      </c>
      <c r="BX36" s="4">
        <v>1013804460.3299999</v>
      </c>
      <c r="BY36" s="4">
        <v>1013804460.3299999</v>
      </c>
      <c r="BZ36" s="4">
        <v>1013804460.3299999</v>
      </c>
      <c r="CA36" s="4">
        <v>1013804460.3299999</v>
      </c>
      <c r="CB36" s="4">
        <v>1013804460.3299999</v>
      </c>
      <c r="CC36" s="4">
        <v>1013804460.3299999</v>
      </c>
      <c r="CD36" s="4">
        <v>1013804460.3299999</v>
      </c>
      <c r="CE36" s="4">
        <v>1013804460.3299999</v>
      </c>
      <c r="CF36" s="4">
        <v>1013804460.3299999</v>
      </c>
      <c r="CG36" s="4">
        <v>1013804460.3299999</v>
      </c>
      <c r="CH36" s="4">
        <v>1013804460.3299999</v>
      </c>
      <c r="CI36" s="4">
        <v>1013804460.3299999</v>
      </c>
      <c r="CJ36" s="35">
        <v>1013804460.3299999</v>
      </c>
      <c r="CK36" s="4">
        <v>1013804460.3299999</v>
      </c>
      <c r="CL36" s="35">
        <v>1013804460.3299999</v>
      </c>
      <c r="CM36" s="4">
        <v>1013804460.3299999</v>
      </c>
      <c r="CN36" s="4">
        <v>1013804460.3299999</v>
      </c>
      <c r="CO36" s="4">
        <v>1013804460.3299999</v>
      </c>
      <c r="CP36" s="4">
        <v>1013804460.3299999</v>
      </c>
      <c r="CQ36" s="4">
        <v>1013804460.3299999</v>
      </c>
      <c r="CR36" s="4">
        <v>1013804460.3299999</v>
      </c>
      <c r="CS36" s="4">
        <v>1013804460.3299999</v>
      </c>
    </row>
    <row r="37" spans="1:97" x14ac:dyDescent="0.25">
      <c r="A37" t="s">
        <v>39</v>
      </c>
      <c r="B37" s="2"/>
      <c r="C37" s="23">
        <f>2158502183.11-500000000</f>
        <v>1658502183.1100001</v>
      </c>
      <c r="D37" s="7">
        <f>2158502183.11+500000000</f>
        <v>2658502183.1100001</v>
      </c>
      <c r="E37" s="4">
        <f>2158502183.11</f>
        <v>2158502183.1100001</v>
      </c>
      <c r="F37" s="4">
        <f>2158502183.11</f>
        <v>2158502183.1100001</v>
      </c>
      <c r="G37" s="4">
        <v>2158502183.1100001</v>
      </c>
      <c r="H37" s="4">
        <v>2158502183.1100001</v>
      </c>
      <c r="I37" s="4">
        <v>2158502183.1100001</v>
      </c>
      <c r="J37" s="4">
        <v>2158502183.1100001</v>
      </c>
      <c r="K37" s="4">
        <v>2158502183.1100001</v>
      </c>
      <c r="L37" s="23">
        <v>2158502183.1100001</v>
      </c>
      <c r="M37" s="4">
        <f>2158502183.11</f>
        <v>2158502183.1100001</v>
      </c>
      <c r="N37" s="4">
        <f>2158502183.11</f>
        <v>2158502183.1100001</v>
      </c>
      <c r="O37" s="23">
        <v>2158502183.1100001</v>
      </c>
      <c r="P37" s="4">
        <v>2158502183.1100001</v>
      </c>
      <c r="Q37" s="4">
        <v>2221905309.6300001</v>
      </c>
      <c r="R37" s="4">
        <v>2221905309.6300001</v>
      </c>
      <c r="S37" s="4">
        <v>2221905309.6300001</v>
      </c>
      <c r="T37" s="23">
        <v>2221905309.6300001</v>
      </c>
      <c r="U37" s="39">
        <f>2221905309.63-500000000</f>
        <v>1721905309.6300001</v>
      </c>
      <c r="V37" s="39">
        <f>2221905309.63+500000000</f>
        <v>2721905309.6300001</v>
      </c>
      <c r="W37" s="39">
        <v>2221905309.6300001</v>
      </c>
      <c r="X37" s="39">
        <v>2221905309.6300001</v>
      </c>
      <c r="Y37" s="23">
        <v>2221905309.6300001</v>
      </c>
      <c r="Z37" s="39">
        <v>2221905309.6300001</v>
      </c>
      <c r="AA37" s="39">
        <v>2221905309.6300001</v>
      </c>
      <c r="AB37" s="39">
        <v>2221905309.6300001</v>
      </c>
      <c r="AC37" s="39">
        <v>2221905309.6300001</v>
      </c>
      <c r="AD37" s="4">
        <v>2221905309.6300001</v>
      </c>
      <c r="AE37" s="4">
        <v>2221905309.6300001</v>
      </c>
      <c r="AF37" s="11">
        <f>2180364197.95</f>
        <v>2180364197.9499998</v>
      </c>
      <c r="AG37" s="11">
        <f>2180364197.95</f>
        <v>2180364197.9499998</v>
      </c>
      <c r="AH37" s="4">
        <f>2180364197.95</f>
        <v>2180364197.9499998</v>
      </c>
      <c r="AI37" s="11">
        <v>2180364197.9499998</v>
      </c>
      <c r="AJ37" s="23">
        <v>2180364197.9499998</v>
      </c>
      <c r="AK37" s="39">
        <v>2180364197.9499998</v>
      </c>
      <c r="AL37" s="39">
        <f>2180364197.95</f>
        <v>2180364197.9499998</v>
      </c>
      <c r="AM37" s="39">
        <f>2180364197.95+50000000</f>
        <v>2230364197.9499998</v>
      </c>
      <c r="AN37" s="39">
        <f>2180364197.95-50000000</f>
        <v>2130364197.9499998</v>
      </c>
      <c r="AO37" s="7">
        <f>2180364197.95</f>
        <v>2180364197.9499998</v>
      </c>
      <c r="AP37" s="23">
        <f>2180364197.95-50000000</f>
        <v>2130364197.9499998</v>
      </c>
      <c r="AQ37" s="7">
        <f>2180364197.95+50000000</f>
        <v>2230364197.9499998</v>
      </c>
      <c r="AR37" s="7">
        <f>2180364197.95</f>
        <v>2180364197.9499998</v>
      </c>
      <c r="AS37" s="7">
        <f>2180364197.95+30000000</f>
        <v>2210364197.9499998</v>
      </c>
      <c r="AT37" s="7">
        <f>2180364197.95-30000000</f>
        <v>2150364197.9499998</v>
      </c>
      <c r="AU37" s="4">
        <v>2180364197.9499998</v>
      </c>
      <c r="AV37" s="23">
        <v>2180364197.9499998</v>
      </c>
      <c r="AW37" s="4">
        <v>2180364197.9499998</v>
      </c>
      <c r="AX37" s="4">
        <v>2180364197.9499998</v>
      </c>
      <c r="AY37" s="8">
        <f>2180364197.95+50000000</f>
        <v>2230364197.9499998</v>
      </c>
      <c r="AZ37" s="8">
        <f>2180364197.95-50000000</f>
        <v>2130364197.9499998</v>
      </c>
      <c r="BA37" s="4">
        <v>2180364197.9499998</v>
      </c>
      <c r="BB37" s="23">
        <v>2180364197.9499998</v>
      </c>
      <c r="BC37" s="4">
        <v>2180364197.9499998</v>
      </c>
      <c r="BD37" s="4">
        <v>2180364197.9499998</v>
      </c>
      <c r="BE37" s="4">
        <v>2180364197.9499998</v>
      </c>
      <c r="BF37" s="4">
        <v>2180364197.9499998</v>
      </c>
      <c r="BG37" s="4">
        <v>2187791571.6999998</v>
      </c>
      <c r="BH37" s="4">
        <v>2187791571.6999998</v>
      </c>
      <c r="BI37" s="23">
        <v>2187791571.6999998</v>
      </c>
      <c r="BJ37" s="35">
        <v>2187791571.6999998</v>
      </c>
      <c r="BK37" s="4">
        <v>2187791571.6999998</v>
      </c>
      <c r="BL37" s="35">
        <v>2187791571.6999998</v>
      </c>
      <c r="BM37" s="4">
        <v>2187791571.6999998</v>
      </c>
      <c r="BN37" s="9">
        <f>2187791571.7+40000000</f>
        <v>2227791571.6999998</v>
      </c>
      <c r="BO37" s="9">
        <f>2187791571.7-40000000</f>
        <v>2147791571.6999998</v>
      </c>
      <c r="BP37" s="4">
        <v>2187791571.6999998</v>
      </c>
      <c r="BQ37" s="35">
        <v>2187791571.6999998</v>
      </c>
      <c r="BR37" s="4">
        <v>2187791571.6999998</v>
      </c>
      <c r="BS37" s="35">
        <v>2187791571.6999998</v>
      </c>
      <c r="BT37" s="4">
        <v>2187791571.6999998</v>
      </c>
      <c r="BU37" s="4">
        <v>2187791571.6999998</v>
      </c>
      <c r="BV37" s="4">
        <v>2187791571.6999998</v>
      </c>
      <c r="BW37" s="4">
        <v>2187791571.6999998</v>
      </c>
      <c r="BX37" s="4">
        <v>2187791571.6999998</v>
      </c>
      <c r="BY37" s="4">
        <v>2187791571.6999998</v>
      </c>
      <c r="BZ37" s="4">
        <v>2187791571.6999998</v>
      </c>
      <c r="CA37" s="4">
        <v>2187791571.6999998</v>
      </c>
      <c r="CB37" s="4">
        <v>2187791571.6999998</v>
      </c>
      <c r="CC37" s="4">
        <v>2187791571.6999998</v>
      </c>
      <c r="CD37" s="4">
        <v>2187791571.6999998</v>
      </c>
      <c r="CE37" s="4">
        <v>2187791571.6999998</v>
      </c>
      <c r="CF37" s="4">
        <v>2187791571.6999998</v>
      </c>
      <c r="CG37" s="4">
        <v>2187791571.6999998</v>
      </c>
      <c r="CH37" s="4">
        <v>2187791571.6999998</v>
      </c>
      <c r="CI37" s="4">
        <v>2187791571.6999998</v>
      </c>
      <c r="CJ37" s="35">
        <v>2187791571.6999998</v>
      </c>
      <c r="CK37" s="4">
        <v>2187791571.6999998</v>
      </c>
      <c r="CL37" s="35">
        <v>2187791571.6999998</v>
      </c>
      <c r="CM37" s="4">
        <v>2187791571.6999998</v>
      </c>
      <c r="CN37" s="4">
        <v>2187791571.6999998</v>
      </c>
      <c r="CO37" s="4">
        <v>2187791571.6999998</v>
      </c>
      <c r="CP37" s="4">
        <v>2187791571.6999998</v>
      </c>
      <c r="CQ37" s="4">
        <v>2187791571.6999998</v>
      </c>
      <c r="CR37" s="4">
        <v>2187791571.6999998</v>
      </c>
      <c r="CS37" s="4">
        <v>2187791571.6999998</v>
      </c>
    </row>
    <row r="38" spans="1:97" x14ac:dyDescent="0.25">
      <c r="A38" t="s">
        <v>40</v>
      </c>
      <c r="B38" s="2"/>
      <c r="C38" s="23">
        <v>421777897.63999999</v>
      </c>
      <c r="D38" s="4">
        <v>421777897.63999999</v>
      </c>
      <c r="E38" s="7">
        <f>421777897.64-50000000</f>
        <v>371777897.63999999</v>
      </c>
      <c r="F38" s="7">
        <f>421777897.64+50000000</f>
        <v>471777897.63999999</v>
      </c>
      <c r="G38" s="4">
        <f t="shared" ref="G38:L38" si="22">421777897.64</f>
        <v>421777897.63999999</v>
      </c>
      <c r="H38" s="4">
        <f t="shared" si="22"/>
        <v>421777897.63999999</v>
      </c>
      <c r="I38" s="4">
        <f t="shared" si="22"/>
        <v>421777897.63999999</v>
      </c>
      <c r="J38" s="4">
        <f t="shared" si="22"/>
        <v>421777897.63999999</v>
      </c>
      <c r="K38" s="4">
        <f t="shared" si="22"/>
        <v>421777897.63999999</v>
      </c>
      <c r="L38" s="23">
        <f t="shared" si="22"/>
        <v>421777897.63999999</v>
      </c>
      <c r="M38" s="4">
        <v>421777897.63999999</v>
      </c>
      <c r="N38" s="4">
        <v>421777897.63999999</v>
      </c>
      <c r="O38" s="23">
        <f>421777897.64</f>
        <v>421777897.63999999</v>
      </c>
      <c r="P38" s="4">
        <f>421777897.64</f>
        <v>421777897.63999999</v>
      </c>
      <c r="Q38" s="4">
        <v>267576206.89999998</v>
      </c>
      <c r="R38" s="4">
        <v>267576206.89999998</v>
      </c>
      <c r="S38" s="4">
        <v>267576206.89999998</v>
      </c>
      <c r="T38" s="23">
        <v>267576206.89999998</v>
      </c>
      <c r="U38" s="39">
        <v>267576206.89999998</v>
      </c>
      <c r="V38" s="39">
        <v>267576206.89999998</v>
      </c>
      <c r="W38" s="39">
        <v>267576206.89999998</v>
      </c>
      <c r="X38" s="39">
        <v>267576206.89999998</v>
      </c>
      <c r="Y38" s="23">
        <v>267576206.89999998</v>
      </c>
      <c r="Z38" s="39">
        <f>267576206.9</f>
        <v>267576206.90000001</v>
      </c>
      <c r="AA38" s="39">
        <f>267576206.9+20000000</f>
        <v>287576206.89999998</v>
      </c>
      <c r="AB38" s="39">
        <f>267576206.9-20000000</f>
        <v>247576206.90000001</v>
      </c>
      <c r="AC38" s="39">
        <v>267576206.89999998</v>
      </c>
      <c r="AD38" s="4">
        <v>267576206.89999998</v>
      </c>
      <c r="AE38" s="4">
        <v>267576206.89999998</v>
      </c>
      <c r="AF38" s="7">
        <f>119977826.99</f>
        <v>119977826.98999999</v>
      </c>
      <c r="AG38" s="7">
        <f>119977826.99+20000000</f>
        <v>139977826.99000001</v>
      </c>
      <c r="AH38" s="7">
        <f>119977826.99-20000000</f>
        <v>99977826.989999995</v>
      </c>
      <c r="AI38" s="7">
        <f>119977826.99</f>
        <v>119977826.98999999</v>
      </c>
      <c r="AJ38" s="23">
        <f>119977826.99+50000000</f>
        <v>169977826.99000001</v>
      </c>
      <c r="AK38" s="39">
        <f>119977826.99-50000000</f>
        <v>69977826.989999995</v>
      </c>
      <c r="AL38" s="39">
        <f>119977826.99</f>
        <v>119977826.98999999</v>
      </c>
      <c r="AM38" s="39">
        <f>119977826.99</f>
        <v>119977826.98999999</v>
      </c>
      <c r="AN38" s="39">
        <f>119977826.99</f>
        <v>119977826.98999999</v>
      </c>
      <c r="AO38" s="7">
        <f>119977826.99</f>
        <v>119977826.98999999</v>
      </c>
      <c r="AP38" s="23">
        <f>119977826.99+50000000</f>
        <v>169977826.99000001</v>
      </c>
      <c r="AQ38" s="7">
        <f>119977826.99-50000000</f>
        <v>69977826.989999995</v>
      </c>
      <c r="AR38" s="4">
        <f>119977826.99</f>
        <v>119977826.98999999</v>
      </c>
      <c r="AS38" s="4">
        <f>119977826.99</f>
        <v>119977826.98999999</v>
      </c>
      <c r="AT38" s="4">
        <f>119977826.99</f>
        <v>119977826.98999999</v>
      </c>
      <c r="AU38" s="4">
        <v>119977826.98999999</v>
      </c>
      <c r="AV38" s="23">
        <v>119977826.98999999</v>
      </c>
      <c r="AW38" s="4">
        <v>119977826.98999999</v>
      </c>
      <c r="AX38" s="4">
        <v>119977826.98999999</v>
      </c>
      <c r="AY38" s="4">
        <v>119977826.98999999</v>
      </c>
      <c r="AZ38" s="4">
        <v>119977826.98999999</v>
      </c>
      <c r="BA38" s="4">
        <v>119977826.98999999</v>
      </c>
      <c r="BB38" s="23">
        <v>119977826.98999999</v>
      </c>
      <c r="BC38" s="4">
        <v>119977826.98999999</v>
      </c>
      <c r="BD38" s="10">
        <f>116256436.52</f>
        <v>116256436.52</v>
      </c>
      <c r="BE38" s="10">
        <f>116256436.52+100000000</f>
        <v>216256436.51999998</v>
      </c>
      <c r="BF38" s="10">
        <f>116256436.52-100000000</f>
        <v>16256436.519999996</v>
      </c>
      <c r="BG38" s="4">
        <f>116256436.52</f>
        <v>116256436.52</v>
      </c>
      <c r="BH38" s="4">
        <f>116256436.52</f>
        <v>116256436.52</v>
      </c>
      <c r="BI38" s="23">
        <f>116256436.52</f>
        <v>116256436.52</v>
      </c>
      <c r="BJ38" s="35">
        <v>116256436.52000001</v>
      </c>
      <c r="BK38" s="4">
        <v>116256436.52000001</v>
      </c>
      <c r="BL38" s="35">
        <v>116256436.52000001</v>
      </c>
      <c r="BM38" s="4">
        <v>116256436.52000001</v>
      </c>
      <c r="BN38" s="4">
        <v>116256436.52000001</v>
      </c>
      <c r="BO38" s="4">
        <v>116256436.52000001</v>
      </c>
      <c r="BP38" s="9">
        <f>116256436.52+15000000</f>
        <v>131256436.52</v>
      </c>
      <c r="BQ38" s="35">
        <f>116256436.52-15000000</f>
        <v>101256436.52</v>
      </c>
      <c r="BR38" s="9">
        <f>116256436.52+15000000</f>
        <v>131256436.52</v>
      </c>
      <c r="BS38" s="35">
        <f>116256436.52-15000000</f>
        <v>101256436.52</v>
      </c>
      <c r="BT38" s="4">
        <v>116256436.52000001</v>
      </c>
      <c r="BU38" s="4">
        <v>116256436.52000001</v>
      </c>
      <c r="BV38" s="4">
        <v>116256436.52000001</v>
      </c>
      <c r="BW38" s="4">
        <v>116256436.52000001</v>
      </c>
      <c r="BX38" s="4">
        <v>116256436.52000001</v>
      </c>
      <c r="BY38" s="4">
        <v>116256436.52000001</v>
      </c>
      <c r="BZ38" s="4">
        <v>116256436.52000001</v>
      </c>
      <c r="CA38" s="4">
        <v>116256436.52000001</v>
      </c>
      <c r="CB38" s="4">
        <v>116256436.52000001</v>
      </c>
      <c r="CC38" s="4">
        <v>116256436.52000001</v>
      </c>
      <c r="CD38" s="4">
        <v>116256436.52000001</v>
      </c>
      <c r="CE38" s="4">
        <v>116256436.52000001</v>
      </c>
      <c r="CF38" s="4">
        <v>116256436.52000001</v>
      </c>
      <c r="CG38" s="4">
        <v>116256436.52000001</v>
      </c>
      <c r="CH38" s="4">
        <v>116256436.52000001</v>
      </c>
      <c r="CI38" s="4">
        <v>116256436.52000001</v>
      </c>
      <c r="CJ38" s="35">
        <v>116256436.52000001</v>
      </c>
      <c r="CK38" s="4">
        <v>116256436.52000001</v>
      </c>
      <c r="CL38" s="35">
        <v>116256436.52000001</v>
      </c>
      <c r="CM38" s="4">
        <v>116256436.52000001</v>
      </c>
      <c r="CN38" s="4">
        <v>116256436.52000001</v>
      </c>
      <c r="CO38" s="4">
        <v>116256436.52000001</v>
      </c>
      <c r="CP38" s="4">
        <v>116256436.52000001</v>
      </c>
      <c r="CQ38" s="4">
        <v>116256436.52000001</v>
      </c>
      <c r="CR38" s="4">
        <v>116256436.52000001</v>
      </c>
      <c r="CS38" s="4">
        <v>116256436.52000001</v>
      </c>
    </row>
    <row r="39" spans="1:97" x14ac:dyDescent="0.25">
      <c r="A39" t="s">
        <v>41</v>
      </c>
      <c r="B39" s="2"/>
      <c r="C39" s="23">
        <v>0</v>
      </c>
      <c r="D39" s="4">
        <v>0</v>
      </c>
      <c r="E39" s="4">
        <v>0</v>
      </c>
      <c r="F39" s="4">
        <v>0</v>
      </c>
      <c r="G39" s="7">
        <f>300000000</f>
        <v>300000000</v>
      </c>
      <c r="H39" s="7">
        <f>300000000+200000000</f>
        <v>500000000</v>
      </c>
      <c r="I39" s="7">
        <f>300000000-200000000</f>
        <v>100000000</v>
      </c>
      <c r="J39" s="4">
        <f>300000000</f>
        <v>300000000</v>
      </c>
      <c r="K39" s="4">
        <f>300000000</f>
        <v>300000000</v>
      </c>
      <c r="L39" s="23">
        <f>300000000</f>
        <v>300000000</v>
      </c>
      <c r="M39" s="4">
        <v>0</v>
      </c>
      <c r="N39" s="4">
        <v>0</v>
      </c>
      <c r="O39" s="23">
        <v>0</v>
      </c>
      <c r="P39" s="4">
        <v>0</v>
      </c>
      <c r="Q39" s="4">
        <v>0</v>
      </c>
      <c r="R39" s="4">
        <v>0</v>
      </c>
      <c r="S39" s="4">
        <v>0</v>
      </c>
      <c r="T39" s="23">
        <v>0</v>
      </c>
      <c r="U39" s="39">
        <v>0</v>
      </c>
      <c r="V39" s="39">
        <v>0</v>
      </c>
      <c r="W39" s="39">
        <v>0</v>
      </c>
      <c r="X39" s="39">
        <v>0</v>
      </c>
      <c r="Y39" s="23">
        <v>0</v>
      </c>
      <c r="Z39" s="39">
        <v>0</v>
      </c>
      <c r="AA39" s="39">
        <v>0</v>
      </c>
      <c r="AB39" s="39">
        <v>0</v>
      </c>
      <c r="AC39" s="39">
        <f>50000000</f>
        <v>50000000</v>
      </c>
      <c r="AD39" s="7">
        <f>50000000-30000000</f>
        <v>20000000</v>
      </c>
      <c r="AE39" s="7">
        <f>50000000+30000000</f>
        <v>80000000</v>
      </c>
      <c r="AF39" s="4">
        <f t="shared" ref="AF39:AQ39" si="23">50000000</f>
        <v>50000000</v>
      </c>
      <c r="AG39" s="4">
        <f t="shared" si="23"/>
        <v>50000000</v>
      </c>
      <c r="AH39" s="4">
        <f t="shared" si="23"/>
        <v>50000000</v>
      </c>
      <c r="AI39" s="7">
        <f>50000000</f>
        <v>50000000</v>
      </c>
      <c r="AJ39" s="23">
        <f>50000000-50000000</f>
        <v>0</v>
      </c>
      <c r="AK39" s="39">
        <f>50000000+50000000</f>
        <v>100000000</v>
      </c>
      <c r="AL39" s="39">
        <f t="shared" si="23"/>
        <v>50000000</v>
      </c>
      <c r="AM39" s="39">
        <f t="shared" si="23"/>
        <v>50000000</v>
      </c>
      <c r="AN39" s="39">
        <f t="shared" si="23"/>
        <v>50000000</v>
      </c>
      <c r="AO39" s="4">
        <f t="shared" si="23"/>
        <v>50000000</v>
      </c>
      <c r="AP39" s="23">
        <f t="shared" si="23"/>
        <v>50000000</v>
      </c>
      <c r="AQ39" s="4">
        <f t="shared" si="23"/>
        <v>50000000</v>
      </c>
      <c r="AR39" s="7">
        <f>50000000</f>
        <v>50000000</v>
      </c>
      <c r="AS39" s="7">
        <f>50000000-30000000</f>
        <v>20000000</v>
      </c>
      <c r="AT39" s="7">
        <f>50000000+30000000</f>
        <v>80000000</v>
      </c>
      <c r="AU39" s="4">
        <v>0</v>
      </c>
      <c r="AV39" s="23">
        <v>0</v>
      </c>
      <c r="AW39" s="4">
        <v>0</v>
      </c>
      <c r="AX39" s="4">
        <v>0</v>
      </c>
      <c r="AY39" s="4">
        <v>0</v>
      </c>
      <c r="AZ39" s="4">
        <v>0</v>
      </c>
      <c r="BA39" s="4">
        <v>0</v>
      </c>
      <c r="BB39" s="23">
        <v>0</v>
      </c>
      <c r="BC39" s="4">
        <v>0</v>
      </c>
      <c r="BD39" s="4">
        <v>0</v>
      </c>
      <c r="BE39" s="4">
        <v>0</v>
      </c>
      <c r="BF39" s="4">
        <v>0</v>
      </c>
      <c r="BG39" s="10">
        <f>30000000</f>
        <v>30000000</v>
      </c>
      <c r="BH39" s="4">
        <f>30000000+10000000</f>
        <v>40000000</v>
      </c>
      <c r="BI39" s="23">
        <f>30000000-10000000</f>
        <v>20000000</v>
      </c>
      <c r="BJ39" s="35">
        <v>0</v>
      </c>
      <c r="BK39" s="4">
        <v>0</v>
      </c>
      <c r="BL39" s="35">
        <v>0</v>
      </c>
      <c r="BM39" s="4">
        <v>0</v>
      </c>
      <c r="BN39" s="4">
        <v>0</v>
      </c>
      <c r="BO39" s="4">
        <v>0</v>
      </c>
      <c r="BP39" s="4">
        <v>0</v>
      </c>
      <c r="BQ39" s="35">
        <v>0</v>
      </c>
      <c r="BR39" s="4">
        <v>0</v>
      </c>
      <c r="BS39" s="35">
        <v>0</v>
      </c>
      <c r="BT39" s="9">
        <f>20000000</f>
        <v>20000000</v>
      </c>
      <c r="BU39" s="9">
        <f>20000000-5000000</f>
        <v>15000000</v>
      </c>
      <c r="BV39" s="9">
        <f>20000000+5000000</f>
        <v>25000000</v>
      </c>
      <c r="BW39" s="9">
        <f>20000000</f>
        <v>20000000</v>
      </c>
      <c r="BX39" s="9">
        <f>20000000-5000000</f>
        <v>15000000</v>
      </c>
      <c r="BY39" s="9">
        <f>20000000+5000000</f>
        <v>25000000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35">
        <v>0</v>
      </c>
      <c r="CK39" s="4">
        <v>0</v>
      </c>
      <c r="CL39" s="35">
        <v>0</v>
      </c>
      <c r="CM39" s="4">
        <v>0</v>
      </c>
      <c r="CN39" s="4">
        <v>0</v>
      </c>
      <c r="CO39" s="4">
        <v>0</v>
      </c>
      <c r="CP39" s="4">
        <v>0</v>
      </c>
      <c r="CQ39" s="4">
        <v>0</v>
      </c>
      <c r="CR39" s="4">
        <v>0</v>
      </c>
      <c r="CS39" s="4">
        <v>0</v>
      </c>
    </row>
    <row r="40" spans="1:97" x14ac:dyDescent="0.25">
      <c r="A40" t="s">
        <v>42</v>
      </c>
      <c r="B40" s="2" t="s">
        <v>43</v>
      </c>
      <c r="C40" s="23">
        <v>0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f>50000000</f>
        <v>50000000</v>
      </c>
      <c r="K40" s="4">
        <f>50000000-20000000</f>
        <v>30000000</v>
      </c>
      <c r="L40" s="23">
        <f>50000000+20000000</f>
        <v>70000000</v>
      </c>
      <c r="M40" s="4">
        <v>0</v>
      </c>
      <c r="N40" s="4">
        <v>0</v>
      </c>
      <c r="O40" s="23">
        <v>0</v>
      </c>
      <c r="P40" s="4">
        <v>0</v>
      </c>
      <c r="Q40" s="4">
        <v>0</v>
      </c>
      <c r="R40" s="4">
        <v>0</v>
      </c>
      <c r="S40" s="28">
        <v>0</v>
      </c>
      <c r="T40" s="27">
        <v>0</v>
      </c>
      <c r="U40" s="39">
        <v>0</v>
      </c>
      <c r="V40" s="39">
        <v>0</v>
      </c>
      <c r="W40" s="39">
        <f>20000000</f>
        <v>20000000</v>
      </c>
      <c r="X40" s="39">
        <f>20000000-20000000</f>
        <v>0</v>
      </c>
      <c r="Y40" s="23">
        <f>20000000+20000000</f>
        <v>40000000</v>
      </c>
      <c r="Z40" s="39">
        <f>20000000</f>
        <v>20000000</v>
      </c>
      <c r="AA40" s="39">
        <f>20000000</f>
        <v>20000000</v>
      </c>
      <c r="AB40" s="39">
        <f>20000000</f>
        <v>20000000</v>
      </c>
      <c r="AC40" s="39">
        <v>0</v>
      </c>
      <c r="AD40" s="4">
        <v>0</v>
      </c>
      <c r="AE40" s="4">
        <v>0</v>
      </c>
      <c r="AF40" s="7">
        <f>100000000</f>
        <v>100000000</v>
      </c>
      <c r="AG40" s="7">
        <f>100000000-20000000</f>
        <v>80000000</v>
      </c>
      <c r="AH40" s="7">
        <f>100000000+20000000</f>
        <v>120000000</v>
      </c>
      <c r="AI40" s="4">
        <f>50000000</f>
        <v>50000000</v>
      </c>
      <c r="AJ40" s="23">
        <f>50000000</f>
        <v>50000000</v>
      </c>
      <c r="AK40" s="39">
        <f>50000000</f>
        <v>50000000</v>
      </c>
      <c r="AL40" s="39">
        <f>100000000</f>
        <v>100000000</v>
      </c>
      <c r="AM40" s="39">
        <f>100000000-50000000</f>
        <v>50000000</v>
      </c>
      <c r="AN40" s="39">
        <f>100000000+50000000</f>
        <v>150000000</v>
      </c>
      <c r="AO40" s="4">
        <f>100000000</f>
        <v>100000000</v>
      </c>
      <c r="AP40" s="23">
        <f>100000000</f>
        <v>100000000</v>
      </c>
      <c r="AQ40" s="4">
        <f>100000000</f>
        <v>100000000</v>
      </c>
      <c r="AR40" s="4">
        <v>0</v>
      </c>
      <c r="AS40" s="4">
        <v>0</v>
      </c>
      <c r="AT40" s="4">
        <v>0</v>
      </c>
      <c r="AU40" s="4">
        <v>0</v>
      </c>
      <c r="AV40" s="23">
        <v>0</v>
      </c>
      <c r="AW40" s="4">
        <v>0</v>
      </c>
      <c r="AX40" s="4">
        <v>0</v>
      </c>
      <c r="AY40" s="4">
        <v>0</v>
      </c>
      <c r="AZ40" s="4">
        <v>0</v>
      </c>
      <c r="BA40" s="8">
        <f>20000000</f>
        <v>20000000</v>
      </c>
      <c r="BB40" s="23">
        <f>20000000+10000000</f>
        <v>30000000</v>
      </c>
      <c r="BC40" s="8">
        <f>20000000-10000000</f>
        <v>10000000</v>
      </c>
      <c r="BD40" s="4">
        <f>20000000</f>
        <v>20000000</v>
      </c>
      <c r="BE40" s="4">
        <f>20000000</f>
        <v>20000000</v>
      </c>
      <c r="BF40" s="4">
        <f>20000000</f>
        <v>20000000</v>
      </c>
      <c r="BG40" s="4">
        <v>0</v>
      </c>
      <c r="BH40" s="4">
        <v>0</v>
      </c>
      <c r="BI40" s="23">
        <v>0</v>
      </c>
      <c r="BJ40" s="35">
        <v>0</v>
      </c>
      <c r="BK40" s="4">
        <v>0</v>
      </c>
      <c r="BL40" s="35">
        <v>0</v>
      </c>
      <c r="BM40" s="4">
        <v>0</v>
      </c>
      <c r="BN40" s="4">
        <v>0</v>
      </c>
      <c r="BO40" s="4">
        <v>0</v>
      </c>
      <c r="BP40" s="4">
        <v>0</v>
      </c>
      <c r="BQ40" s="35">
        <v>0</v>
      </c>
      <c r="BR40" s="4">
        <v>0</v>
      </c>
      <c r="BS40" s="35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9">
        <f>40000000</f>
        <v>40000000</v>
      </c>
      <c r="CA40" s="9">
        <f>40000000-10000000</f>
        <v>30000000</v>
      </c>
      <c r="CB40" s="9">
        <f>40000000+10000000</f>
        <v>50000000</v>
      </c>
      <c r="CC40" s="9">
        <f>40000000</f>
        <v>40000000</v>
      </c>
      <c r="CD40" s="9">
        <f>40000000-10000000</f>
        <v>30000000</v>
      </c>
      <c r="CE40" s="9">
        <f>40000000+10000000</f>
        <v>50000000</v>
      </c>
      <c r="CF40" s="4">
        <v>0</v>
      </c>
      <c r="CG40" s="4">
        <v>0</v>
      </c>
      <c r="CH40" s="4">
        <v>0</v>
      </c>
      <c r="CI40" s="4">
        <v>0</v>
      </c>
      <c r="CJ40" s="35">
        <v>0</v>
      </c>
      <c r="CK40" s="4">
        <v>0</v>
      </c>
      <c r="CL40" s="35">
        <v>0</v>
      </c>
      <c r="CM40" s="4">
        <v>0</v>
      </c>
      <c r="CN40" s="4">
        <v>0</v>
      </c>
      <c r="CO40" s="4">
        <v>0</v>
      </c>
      <c r="CP40" s="4">
        <v>0</v>
      </c>
      <c r="CQ40" s="4">
        <v>0</v>
      </c>
      <c r="CR40" s="4">
        <v>0</v>
      </c>
      <c r="CS40" s="4">
        <v>0</v>
      </c>
    </row>
    <row r="41" spans="1:97" x14ac:dyDescent="0.25">
      <c r="B41" s="2"/>
      <c r="C41" s="23"/>
      <c r="D41" s="4"/>
      <c r="E41" s="4"/>
      <c r="F41" s="4"/>
      <c r="G41" s="4"/>
      <c r="H41" s="4"/>
      <c r="I41" s="4"/>
      <c r="J41" s="4"/>
      <c r="K41" s="4"/>
      <c r="L41" s="23"/>
      <c r="M41" s="4"/>
      <c r="N41" s="4"/>
      <c r="O41" s="23"/>
      <c r="P41" s="4"/>
      <c r="Q41" s="4"/>
      <c r="R41" s="4"/>
      <c r="S41" s="28"/>
      <c r="T41" s="27"/>
      <c r="U41" s="39"/>
      <c r="V41" s="39"/>
      <c r="W41" s="39"/>
      <c r="X41" s="39"/>
      <c r="Y41" s="23"/>
      <c r="Z41" s="39"/>
      <c r="AA41" s="39"/>
      <c r="AB41" s="39"/>
      <c r="AC41" s="39"/>
      <c r="AD41" s="4"/>
      <c r="AE41" s="4"/>
      <c r="AF41" s="4"/>
      <c r="AG41" s="4"/>
      <c r="AH41" s="4"/>
      <c r="AI41" s="4"/>
      <c r="AJ41" s="23"/>
      <c r="AK41" s="39"/>
      <c r="AL41" s="39"/>
      <c r="AM41" s="39"/>
      <c r="AN41" s="39"/>
      <c r="AO41" s="4"/>
      <c r="AP41" s="23"/>
      <c r="AQ41" s="4"/>
      <c r="AR41" s="4"/>
      <c r="AS41" s="4"/>
      <c r="AT41" s="4"/>
      <c r="AU41" s="4"/>
      <c r="AV41" s="23"/>
      <c r="AW41" s="4"/>
      <c r="AX41" s="4"/>
      <c r="AY41" s="4"/>
      <c r="AZ41" s="4"/>
      <c r="BA41" s="4"/>
      <c r="BB41" s="23"/>
      <c r="BC41" s="4"/>
      <c r="BD41" s="4"/>
      <c r="BE41" s="4"/>
      <c r="BF41" s="4"/>
      <c r="BG41" s="4"/>
      <c r="BH41" s="4"/>
      <c r="BI41" s="23"/>
      <c r="BJ41" s="35">
        <f>BJ11+BJ34</f>
        <v>0</v>
      </c>
      <c r="BK41" s="4">
        <v>0</v>
      </c>
      <c r="BL41" s="35">
        <f t="shared" ref="BL41:CE41" si="24">BL11+BL34</f>
        <v>0</v>
      </c>
      <c r="BM41" s="4">
        <v>0</v>
      </c>
      <c r="BN41" s="16">
        <f t="shared" si="24"/>
        <v>0</v>
      </c>
      <c r="BO41" s="4">
        <f t="shared" si="24"/>
        <v>0</v>
      </c>
      <c r="BP41" s="16">
        <f t="shared" si="24"/>
        <v>0</v>
      </c>
      <c r="BQ41" s="35">
        <v>0</v>
      </c>
      <c r="BR41" s="16">
        <f t="shared" si="24"/>
        <v>0</v>
      </c>
      <c r="BS41" s="35">
        <v>0</v>
      </c>
      <c r="BT41" s="16">
        <f t="shared" ref="BT41" si="25">BT11+BT34</f>
        <v>0</v>
      </c>
      <c r="BU41" s="16">
        <f t="shared" si="24"/>
        <v>0</v>
      </c>
      <c r="BV41" s="4">
        <f t="shared" si="24"/>
        <v>0</v>
      </c>
      <c r="BW41" s="16">
        <f t="shared" ref="BW41" si="26">BW11+BW34</f>
        <v>0</v>
      </c>
      <c r="BX41" s="16">
        <f t="shared" si="24"/>
        <v>0</v>
      </c>
      <c r="BY41" s="4">
        <f t="shared" si="24"/>
        <v>0</v>
      </c>
      <c r="BZ41" s="16">
        <f t="shared" ref="BZ41" si="27">BZ11+BZ34</f>
        <v>0</v>
      </c>
      <c r="CA41" s="16">
        <f t="shared" si="24"/>
        <v>0</v>
      </c>
      <c r="CB41" s="4">
        <f t="shared" si="24"/>
        <v>0</v>
      </c>
      <c r="CC41" s="16">
        <f t="shared" ref="CC41" si="28">CC11+CC34</f>
        <v>0</v>
      </c>
      <c r="CD41" s="16">
        <f t="shared" si="24"/>
        <v>0</v>
      </c>
      <c r="CE41" s="4">
        <f t="shared" si="24"/>
        <v>0</v>
      </c>
      <c r="CF41" s="4"/>
      <c r="CG41" s="4"/>
      <c r="CH41" s="4"/>
      <c r="CI41" s="4"/>
      <c r="CJ41" s="35"/>
      <c r="CK41" s="4"/>
      <c r="CL41" s="35"/>
      <c r="CM41" s="4"/>
      <c r="CN41" s="4"/>
      <c r="CO41" s="4"/>
      <c r="CP41" s="4"/>
      <c r="CQ41" s="4"/>
      <c r="CR41" s="4"/>
      <c r="CS41" s="4"/>
    </row>
    <row r="42" spans="1:97" x14ac:dyDescent="0.25">
      <c r="A42" s="1" t="s">
        <v>44</v>
      </c>
      <c r="B42" s="2"/>
      <c r="C42" s="23"/>
      <c r="D42" s="4"/>
      <c r="E42" s="4"/>
      <c r="F42" s="4"/>
      <c r="G42" s="4"/>
      <c r="H42" s="4"/>
      <c r="I42" s="4"/>
      <c r="J42" s="4"/>
      <c r="K42" s="4"/>
      <c r="L42" s="23"/>
      <c r="M42" s="4">
        <f>M43+150000000*0.15</f>
        <v>356505726.85750002</v>
      </c>
      <c r="N42" s="4">
        <f>N43-(150000000*0.15)</f>
        <v>311505726.85750002</v>
      </c>
      <c r="O42" s="23"/>
      <c r="P42" s="4"/>
      <c r="Q42" s="4"/>
      <c r="R42" s="4"/>
      <c r="S42" s="4"/>
      <c r="T42" s="23"/>
      <c r="U42" s="39"/>
      <c r="V42" s="39"/>
      <c r="W42" s="39"/>
      <c r="X42" s="39"/>
      <c r="Y42" s="23"/>
      <c r="Z42" s="39"/>
      <c r="AA42" s="39"/>
      <c r="AB42" s="39"/>
      <c r="AC42" s="39"/>
      <c r="AD42" s="4"/>
      <c r="AE42" s="4"/>
      <c r="AF42" s="4"/>
      <c r="AG42" s="4"/>
      <c r="AH42" s="4"/>
      <c r="AI42" s="4"/>
      <c r="AJ42" s="23"/>
      <c r="AK42" s="39"/>
      <c r="AL42" s="39"/>
      <c r="AM42" s="39"/>
      <c r="AN42" s="39"/>
      <c r="AO42" s="4"/>
      <c r="AP42" s="23"/>
      <c r="AQ42" s="4"/>
      <c r="AR42" s="4"/>
      <c r="AS42" s="4"/>
      <c r="AT42" s="4"/>
      <c r="AU42" s="4"/>
      <c r="AV42" s="23"/>
      <c r="AW42" s="4"/>
      <c r="AX42" s="4"/>
      <c r="AY42" s="4"/>
      <c r="AZ42" s="4"/>
      <c r="BA42" s="4"/>
      <c r="BB42" s="23"/>
      <c r="BC42" s="4"/>
      <c r="BD42" s="4"/>
      <c r="BE42" s="4"/>
      <c r="BF42" s="4"/>
      <c r="BG42" s="4"/>
      <c r="BH42" s="4"/>
      <c r="BI42" s="23"/>
      <c r="BJ42" s="35"/>
      <c r="BK42" s="4"/>
      <c r="BL42" s="35"/>
      <c r="BM42" s="4"/>
      <c r="BN42" s="4"/>
      <c r="BO42" s="4"/>
      <c r="BP42" s="4"/>
      <c r="BQ42" s="35"/>
      <c r="BR42" s="4"/>
      <c r="BS42" s="35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35"/>
      <c r="CK42" s="4"/>
      <c r="CL42" s="35"/>
      <c r="CM42" s="4"/>
      <c r="CN42" s="4"/>
      <c r="CO42" s="4"/>
      <c r="CP42" s="4"/>
      <c r="CQ42" s="4"/>
      <c r="CR42" s="4"/>
      <c r="CS42" s="4"/>
    </row>
    <row r="43" spans="1:97" x14ac:dyDescent="0.25">
      <c r="A43" t="s">
        <v>45</v>
      </c>
      <c r="B43" s="2"/>
      <c r="C43" s="23">
        <v>334005726.85750002</v>
      </c>
      <c r="D43" s="4">
        <v>334005726.85750002</v>
      </c>
      <c r="E43" s="4">
        <v>334005726.85750002</v>
      </c>
      <c r="F43" s="4">
        <v>334005726.85750002</v>
      </c>
      <c r="G43" s="4">
        <v>334005726.85750002</v>
      </c>
      <c r="H43" s="4">
        <v>334005726.85750002</v>
      </c>
      <c r="I43" s="4">
        <v>334005726.85750002</v>
      </c>
      <c r="J43" s="4">
        <v>334005726.85750002</v>
      </c>
      <c r="K43" s="4">
        <v>334005726.85750002</v>
      </c>
      <c r="L43" s="23">
        <v>334005726.85750002</v>
      </c>
      <c r="M43" s="4">
        <v>334005726.85750002</v>
      </c>
      <c r="N43" s="4">
        <v>334005726.85750002</v>
      </c>
      <c r="O43" s="23">
        <v>334005726.85750002</v>
      </c>
      <c r="P43" s="4">
        <v>334005726.85750002</v>
      </c>
      <c r="Q43" s="4">
        <v>318086318.67700005</v>
      </c>
      <c r="R43" s="4">
        <v>318086318.67700005</v>
      </c>
      <c r="S43" s="4">
        <v>318086318.67700005</v>
      </c>
      <c r="T43" s="23">
        <v>318086318.67700005</v>
      </c>
      <c r="U43" s="39">
        <v>318086318.67700005</v>
      </c>
      <c r="V43" s="39">
        <v>318086318.67700005</v>
      </c>
      <c r="W43" s="39">
        <v>318086318.67700005</v>
      </c>
      <c r="X43" s="39">
        <v>318086318.67700005</v>
      </c>
      <c r="Y43" s="23">
        <v>318086318.67700005</v>
      </c>
      <c r="Z43" s="39">
        <v>318086318.67700005</v>
      </c>
      <c r="AA43" s="39">
        <v>318086318.67700005</v>
      </c>
      <c r="AB43" s="39">
        <v>318086318.67700005</v>
      </c>
      <c r="AC43" s="39">
        <v>318086318.67700005</v>
      </c>
      <c r="AD43" s="4">
        <v>318086318.67700005</v>
      </c>
      <c r="AE43" s="4">
        <v>318086318.67700005</v>
      </c>
      <c r="AF43" s="4">
        <v>359321233.05850005</v>
      </c>
      <c r="AG43" s="4">
        <v>359321233.05850005</v>
      </c>
      <c r="AH43" s="4">
        <v>359321233.05850005</v>
      </c>
      <c r="AI43" s="4">
        <v>359321233.05850005</v>
      </c>
      <c r="AJ43" s="23">
        <v>359321233.05850005</v>
      </c>
      <c r="AK43" s="39">
        <v>359321233.05850005</v>
      </c>
      <c r="AL43" s="39">
        <v>359321233.05850005</v>
      </c>
      <c r="AM43" s="39">
        <v>359321233.05850005</v>
      </c>
      <c r="AN43" s="39">
        <v>359321233.05850005</v>
      </c>
      <c r="AO43" s="4">
        <v>359321233.05850005</v>
      </c>
      <c r="AP43" s="23">
        <v>359321233.05850005</v>
      </c>
      <c r="AQ43" s="4">
        <v>359321233.05850005</v>
      </c>
      <c r="AR43" s="4">
        <v>359321233.05850005</v>
      </c>
      <c r="AS43" s="4">
        <v>359321233.05850005</v>
      </c>
      <c r="AT43" s="4">
        <v>359321233.05850005</v>
      </c>
      <c r="AU43" s="4">
        <v>359321233.05850005</v>
      </c>
      <c r="AV43" s="23">
        <v>359321233.05850005</v>
      </c>
      <c r="AW43" s="4">
        <v>359321233.05850005</v>
      </c>
      <c r="AX43" s="4">
        <v>359321233.05850005</v>
      </c>
      <c r="AY43" s="4">
        <v>359321233.05850005</v>
      </c>
      <c r="AZ43" s="4">
        <v>359321233.05850005</v>
      </c>
      <c r="BA43" s="4">
        <v>359321233.05850005</v>
      </c>
      <c r="BB43" s="23">
        <v>359321233.05850005</v>
      </c>
      <c r="BC43" s="4">
        <v>359321233.05850005</v>
      </c>
      <c r="BD43" s="4">
        <v>359321233.05850005</v>
      </c>
      <c r="BE43" s="4">
        <v>359321233.05850005</v>
      </c>
      <c r="BF43" s="4">
        <v>359321233.05850005</v>
      </c>
      <c r="BG43" s="4">
        <v>370381495.39950001</v>
      </c>
      <c r="BH43" s="4">
        <v>370381495.39950001</v>
      </c>
      <c r="BI43" s="23">
        <v>370381495.39950001</v>
      </c>
      <c r="BJ43" s="35">
        <v>370381495.39950001</v>
      </c>
      <c r="BK43" s="4">
        <v>370381495.39950001</v>
      </c>
      <c r="BL43" s="35">
        <v>370381495.39950001</v>
      </c>
      <c r="BM43" s="4">
        <v>370381495.39950001</v>
      </c>
      <c r="BN43" s="4">
        <v>370381495.39950001</v>
      </c>
      <c r="BO43" s="4">
        <v>370381495.39950001</v>
      </c>
      <c r="BP43" s="4">
        <v>370381495.39950001</v>
      </c>
      <c r="BQ43" s="35">
        <v>370381495.39950001</v>
      </c>
      <c r="BR43" s="4">
        <v>370381495.39950001</v>
      </c>
      <c r="BS43" s="35">
        <v>370381495.39950001</v>
      </c>
      <c r="BT43" s="4">
        <v>370381495.39950001</v>
      </c>
      <c r="BU43" s="4">
        <v>370381495.39950001</v>
      </c>
      <c r="BV43" s="4">
        <v>370381495.39950001</v>
      </c>
      <c r="BW43" s="4">
        <v>370381495.39950001</v>
      </c>
      <c r="BX43" s="4">
        <v>370381495.39950001</v>
      </c>
      <c r="BY43" s="4">
        <v>370381495.39950001</v>
      </c>
      <c r="BZ43" s="4">
        <v>370381495.39950001</v>
      </c>
      <c r="CA43" s="4">
        <v>370381495.39950001</v>
      </c>
      <c r="CB43" s="4">
        <v>370381495.39950001</v>
      </c>
      <c r="CC43" s="4">
        <v>370381495.39950001</v>
      </c>
      <c r="CD43" s="4">
        <v>370381495.39950001</v>
      </c>
      <c r="CE43" s="4">
        <v>370381495.39950001</v>
      </c>
      <c r="CF43" s="4">
        <v>370381495.39950001</v>
      </c>
      <c r="CG43" s="4">
        <v>370381495.39950001</v>
      </c>
      <c r="CH43" s="4">
        <v>370381495.39950001</v>
      </c>
      <c r="CI43" s="4">
        <v>370381495.39950001</v>
      </c>
      <c r="CJ43" s="35">
        <v>370381495.39950001</v>
      </c>
      <c r="CK43" s="4">
        <v>370381495.39950001</v>
      </c>
      <c r="CL43" s="35">
        <v>370381495.39950001</v>
      </c>
      <c r="CM43" s="4">
        <v>370381495.39950001</v>
      </c>
      <c r="CN43" s="4">
        <v>370381495.39950001</v>
      </c>
      <c r="CO43" s="4">
        <v>370381495.39950001</v>
      </c>
      <c r="CP43" s="4">
        <v>370381495.39950001</v>
      </c>
      <c r="CQ43" s="4">
        <v>370381495.39950001</v>
      </c>
      <c r="CR43" s="4">
        <v>370381495.39950001</v>
      </c>
      <c r="CS43" s="4">
        <v>370381495.39950001</v>
      </c>
    </row>
    <row r="44" spans="1:97" x14ac:dyDescent="0.25">
      <c r="A44" t="s">
        <v>46</v>
      </c>
      <c r="B44" s="2"/>
      <c r="C44" s="23">
        <v>334005726.85750002</v>
      </c>
      <c r="D44" s="4">
        <v>334005726.85750002</v>
      </c>
      <c r="E44" s="4">
        <v>334005726.85750002</v>
      </c>
      <c r="F44" s="4">
        <v>334005726.85750002</v>
      </c>
      <c r="G44" s="4">
        <v>334005726.85750002</v>
      </c>
      <c r="H44" s="4">
        <v>334005726.85750002</v>
      </c>
      <c r="I44" s="4">
        <v>334005726.85750002</v>
      </c>
      <c r="J44" s="4">
        <v>334005726.85750002</v>
      </c>
      <c r="K44" s="4">
        <v>334005726.85750002</v>
      </c>
      <c r="L44" s="23">
        <v>334005726.85750002</v>
      </c>
      <c r="M44" s="4">
        <v>334005726.85750002</v>
      </c>
      <c r="N44" s="4">
        <v>334005726.85750002</v>
      </c>
      <c r="O44" s="23">
        <v>334005726.85750002</v>
      </c>
      <c r="P44" s="4">
        <v>334005726.85750002</v>
      </c>
      <c r="Q44" s="4">
        <v>318086318.67700005</v>
      </c>
      <c r="R44" s="4">
        <v>318086318.67700005</v>
      </c>
      <c r="S44" s="4">
        <v>318086318.67700005</v>
      </c>
      <c r="T44" s="23">
        <v>318086318.67700005</v>
      </c>
      <c r="U44" s="39">
        <v>318086318.67700005</v>
      </c>
      <c r="V44" s="39">
        <v>318086318.67700005</v>
      </c>
      <c r="W44" s="39">
        <v>318086318.67700005</v>
      </c>
      <c r="X44" s="39">
        <v>318086318.67700005</v>
      </c>
      <c r="Y44" s="23">
        <v>318086318.67700005</v>
      </c>
      <c r="Z44" s="39">
        <v>318086318.67700005</v>
      </c>
      <c r="AA44" s="39">
        <v>318086318.67700005</v>
      </c>
      <c r="AB44" s="39">
        <v>318086318.67700005</v>
      </c>
      <c r="AC44" s="39">
        <v>318086318.67700005</v>
      </c>
      <c r="AD44" s="4">
        <v>318086318.67700005</v>
      </c>
      <c r="AE44" s="4">
        <v>318086318.67700005</v>
      </c>
      <c r="AF44" s="4">
        <v>359321233.05850005</v>
      </c>
      <c r="AG44" s="4">
        <v>359321233.05850005</v>
      </c>
      <c r="AH44" s="4">
        <v>359321233.05850005</v>
      </c>
      <c r="AI44" s="4">
        <v>359321233.05850005</v>
      </c>
      <c r="AJ44" s="23">
        <v>359321233.05850005</v>
      </c>
      <c r="AK44" s="39">
        <v>359321233.05850005</v>
      </c>
      <c r="AL44" s="39">
        <v>359321233.05850005</v>
      </c>
      <c r="AM44" s="39">
        <v>359321233.05850005</v>
      </c>
      <c r="AN44" s="39">
        <v>359321233.05850005</v>
      </c>
      <c r="AO44" s="4">
        <v>359321233.05850005</v>
      </c>
      <c r="AP44" s="23">
        <v>359321233.05850005</v>
      </c>
      <c r="AQ44" s="4">
        <v>359321233.05850005</v>
      </c>
      <c r="AR44" s="4">
        <v>359321233.05850005</v>
      </c>
      <c r="AS44" s="4">
        <v>359321233.05850005</v>
      </c>
      <c r="AT44" s="4">
        <v>359321233.05850005</v>
      </c>
      <c r="AU44" s="4">
        <v>359321233.05850005</v>
      </c>
      <c r="AV44" s="23">
        <v>359321233.05850005</v>
      </c>
      <c r="AW44" s="4">
        <v>359321233.05850005</v>
      </c>
      <c r="AX44" s="4">
        <v>359321233.05850005</v>
      </c>
      <c r="AY44" s="4">
        <v>359321233.05850005</v>
      </c>
      <c r="AZ44" s="4">
        <v>359321233.05850005</v>
      </c>
      <c r="BA44" s="4">
        <v>359321233.05850005</v>
      </c>
      <c r="BB44" s="23">
        <v>359321233.05850005</v>
      </c>
      <c r="BC44" s="4">
        <v>359321233.05850005</v>
      </c>
      <c r="BD44" s="4">
        <v>359321233.05850005</v>
      </c>
      <c r="BE44" s="4">
        <v>359321233.05850005</v>
      </c>
      <c r="BF44" s="4">
        <v>359321233.05850005</v>
      </c>
      <c r="BG44" s="4">
        <v>370381495.39950001</v>
      </c>
      <c r="BH44" s="4">
        <v>370381495.39950001</v>
      </c>
      <c r="BI44" s="23">
        <v>370381495.39950001</v>
      </c>
      <c r="BJ44" s="35">
        <v>370381495.39950001</v>
      </c>
      <c r="BK44" s="4">
        <v>370381495.39950001</v>
      </c>
      <c r="BL44" s="35">
        <v>370381495.39950001</v>
      </c>
      <c r="BM44" s="4">
        <v>370381495.39950001</v>
      </c>
      <c r="BN44" s="4">
        <v>370381495.39950001</v>
      </c>
      <c r="BO44" s="4">
        <v>370381495.39950001</v>
      </c>
      <c r="BP44" s="4">
        <v>370381495.39950001</v>
      </c>
      <c r="BQ44" s="35">
        <v>370381495.39950001</v>
      </c>
      <c r="BR44" s="4">
        <v>370381495.39950001</v>
      </c>
      <c r="BS44" s="35">
        <v>370381495.39950001</v>
      </c>
      <c r="BT44" s="4">
        <v>370381495.39950001</v>
      </c>
      <c r="BU44" s="4">
        <v>370381495.39950001</v>
      </c>
      <c r="BV44" s="4">
        <v>370381495.39950001</v>
      </c>
      <c r="BW44" s="4">
        <v>370381495.39950001</v>
      </c>
      <c r="BX44" s="4">
        <v>370381495.39950001</v>
      </c>
      <c r="BY44" s="4">
        <v>370381495.39950001</v>
      </c>
      <c r="BZ44" s="4">
        <v>370381495.39950001</v>
      </c>
      <c r="CA44" s="4">
        <v>370381495.39950001</v>
      </c>
      <c r="CB44" s="4">
        <v>370381495.39950001</v>
      </c>
      <c r="CC44" s="4">
        <v>370381495.39950001</v>
      </c>
      <c r="CD44" s="4">
        <v>370381495.39950001</v>
      </c>
      <c r="CE44" s="4">
        <v>370381495.39950001</v>
      </c>
      <c r="CF44" s="4">
        <v>370381495.39950001</v>
      </c>
      <c r="CG44" s="4">
        <v>370381495.39950001</v>
      </c>
      <c r="CH44" s="4">
        <v>370381495.39950001</v>
      </c>
      <c r="CI44" s="4">
        <v>370381495.39950001</v>
      </c>
      <c r="CJ44" s="35">
        <v>370381495.39950001</v>
      </c>
      <c r="CK44" s="4">
        <v>370381495.39950001</v>
      </c>
      <c r="CL44" s="35">
        <v>370381495.39950001</v>
      </c>
      <c r="CM44" s="4">
        <v>370381495.39950001</v>
      </c>
      <c r="CN44" s="4">
        <v>370381495.39950001</v>
      </c>
      <c r="CO44" s="4">
        <v>370381495.39950001</v>
      </c>
      <c r="CP44" s="4">
        <v>370381495.39950001</v>
      </c>
      <c r="CQ44" s="4">
        <v>370381495.39950001</v>
      </c>
      <c r="CR44" s="4">
        <v>370381495.39950001</v>
      </c>
      <c r="CS44" s="4">
        <v>370381495.39950001</v>
      </c>
    </row>
    <row r="45" spans="1:97" x14ac:dyDescent="0.25">
      <c r="A45" t="s">
        <v>47</v>
      </c>
      <c r="B45" s="2"/>
      <c r="C45" s="23">
        <v>334005726.85750002</v>
      </c>
      <c r="D45" s="4">
        <v>334005726.85750002</v>
      </c>
      <c r="E45" s="4">
        <v>334005726.85750002</v>
      </c>
      <c r="F45" s="4">
        <v>334005726.85750002</v>
      </c>
      <c r="G45" s="4">
        <v>334005726.85750002</v>
      </c>
      <c r="H45" s="4">
        <v>334005726.85750002</v>
      </c>
      <c r="I45" s="4">
        <v>334005726.85750002</v>
      </c>
      <c r="J45" s="4">
        <v>334005726.85750002</v>
      </c>
      <c r="K45" s="4">
        <v>334005726.85750002</v>
      </c>
      <c r="L45" s="23">
        <v>334005726.85750002</v>
      </c>
      <c r="M45" s="4">
        <v>334005726.85750002</v>
      </c>
      <c r="N45" s="4">
        <v>334005726.85750002</v>
      </c>
      <c r="O45" s="23">
        <v>334005726.85750002</v>
      </c>
      <c r="P45" s="4">
        <v>334005726.85750002</v>
      </c>
      <c r="Q45" s="4">
        <v>318086318.67700005</v>
      </c>
      <c r="R45" s="4">
        <v>318086318.67700005</v>
      </c>
      <c r="S45" s="4">
        <v>318086318.67700005</v>
      </c>
      <c r="T45" s="23">
        <v>318086318.67700005</v>
      </c>
      <c r="U45" s="39">
        <v>318086318.67700005</v>
      </c>
      <c r="V45" s="39">
        <v>318086318.67700005</v>
      </c>
      <c r="W45" s="39">
        <v>318086318.67700005</v>
      </c>
      <c r="X45" s="39">
        <v>318086318.67700005</v>
      </c>
      <c r="Y45" s="23">
        <v>318086318.67700005</v>
      </c>
      <c r="Z45" s="39">
        <v>318086318.67700005</v>
      </c>
      <c r="AA45" s="39">
        <v>318086318.67700005</v>
      </c>
      <c r="AB45" s="39">
        <v>318086318.67700005</v>
      </c>
      <c r="AC45" s="39">
        <v>318086318.67700005</v>
      </c>
      <c r="AD45" s="4">
        <v>318086318.67700005</v>
      </c>
      <c r="AE45" s="4">
        <v>318086318.67700005</v>
      </c>
      <c r="AF45" s="4">
        <v>359321233.05850005</v>
      </c>
      <c r="AG45" s="4">
        <v>359321233.05850005</v>
      </c>
      <c r="AH45" s="4">
        <v>359321233.05850005</v>
      </c>
      <c r="AI45" s="4">
        <v>359321233.05850005</v>
      </c>
      <c r="AJ45" s="23">
        <v>359321233.05850005</v>
      </c>
      <c r="AK45" s="39">
        <v>359321233.05850005</v>
      </c>
      <c r="AL45" s="39">
        <v>359321233.05850005</v>
      </c>
      <c r="AM45" s="39">
        <v>359321233.05850005</v>
      </c>
      <c r="AN45" s="39">
        <v>359321233.05850005</v>
      </c>
      <c r="AO45" s="4">
        <v>359321233.05850005</v>
      </c>
      <c r="AP45" s="23">
        <v>359321233.05850005</v>
      </c>
      <c r="AQ45" s="4">
        <v>359321233.05850005</v>
      </c>
      <c r="AR45" s="4">
        <v>359321233.05850005</v>
      </c>
      <c r="AS45" s="4">
        <v>359321233.05850005</v>
      </c>
      <c r="AT45" s="4">
        <v>359321233.05850005</v>
      </c>
      <c r="AU45" s="4">
        <v>359321233.05850005</v>
      </c>
      <c r="AV45" s="23">
        <v>359321233.05850005</v>
      </c>
      <c r="AW45" s="4">
        <v>359321233.05850005</v>
      </c>
      <c r="AX45" s="4">
        <v>359321233.05850005</v>
      </c>
      <c r="AY45" s="4">
        <v>359321233.05850005</v>
      </c>
      <c r="AZ45" s="4">
        <v>359321233.05850005</v>
      </c>
      <c r="BA45" s="4">
        <v>359321233.05850005</v>
      </c>
      <c r="BB45" s="23">
        <v>359321233.05850005</v>
      </c>
      <c r="BC45" s="4">
        <v>359321233.05850005</v>
      </c>
      <c r="BD45" s="4">
        <v>359321233.05850005</v>
      </c>
      <c r="BE45" s="4">
        <v>359321233.05850005</v>
      </c>
      <c r="BF45" s="4">
        <v>359321233.05850005</v>
      </c>
      <c r="BG45" s="4">
        <v>370381495.39950001</v>
      </c>
      <c r="BH45" s="4">
        <v>370381495.39950001</v>
      </c>
      <c r="BI45" s="23">
        <v>370381495.39950001</v>
      </c>
      <c r="BJ45" s="35">
        <v>370381495.39950001</v>
      </c>
      <c r="BK45" s="4">
        <v>370381495.39950001</v>
      </c>
      <c r="BL45" s="35">
        <v>370381495.39950001</v>
      </c>
      <c r="BM45" s="4">
        <v>370381495.39950001</v>
      </c>
      <c r="BN45" s="4">
        <v>370381495.39950001</v>
      </c>
      <c r="BO45" s="4">
        <v>370381495.39950001</v>
      </c>
      <c r="BP45" s="4">
        <v>370381495.39950001</v>
      </c>
      <c r="BQ45" s="35">
        <v>370381495.39950001</v>
      </c>
      <c r="BR45" s="4">
        <v>370381495.39950001</v>
      </c>
      <c r="BS45" s="35">
        <v>370381495.39950001</v>
      </c>
      <c r="BT45" s="4">
        <v>370381495.39950001</v>
      </c>
      <c r="BU45" s="4">
        <v>370381495.39950001</v>
      </c>
      <c r="BV45" s="4">
        <v>370381495.39950001</v>
      </c>
      <c r="BW45" s="4">
        <v>370381495.39950001</v>
      </c>
      <c r="BX45" s="4">
        <v>370381495.39950001</v>
      </c>
      <c r="BY45" s="4">
        <v>370381495.39950001</v>
      </c>
      <c r="BZ45" s="4">
        <v>370381495.39950001</v>
      </c>
      <c r="CA45" s="4">
        <v>370381495.39950001</v>
      </c>
      <c r="CB45" s="4">
        <v>370381495.39950001</v>
      </c>
      <c r="CC45" s="4">
        <v>370381495.39950001</v>
      </c>
      <c r="CD45" s="4">
        <v>370381495.39950001</v>
      </c>
      <c r="CE45" s="4">
        <v>370381495.39950001</v>
      </c>
      <c r="CF45" s="4">
        <v>370381495.39950001</v>
      </c>
      <c r="CG45" s="4">
        <v>370381495.39950001</v>
      </c>
      <c r="CH45" s="4">
        <v>370381495.39950001</v>
      </c>
      <c r="CI45" s="4">
        <v>370381495.39950001</v>
      </c>
      <c r="CJ45" s="35">
        <v>370381495.39950001</v>
      </c>
      <c r="CK45" s="4">
        <v>370381495.39950001</v>
      </c>
      <c r="CL45" s="35">
        <v>370381495.39950001</v>
      </c>
      <c r="CM45" s="4">
        <v>370381495.39950001</v>
      </c>
      <c r="CN45" s="4">
        <v>370381495.39950001</v>
      </c>
      <c r="CO45" s="4">
        <v>370381495.39950001</v>
      </c>
      <c r="CP45" s="4">
        <v>370381495.39950001</v>
      </c>
      <c r="CQ45" s="4">
        <v>370381495.39950001</v>
      </c>
      <c r="CR45" s="4">
        <v>370381495.39950001</v>
      </c>
      <c r="CS45" s="4">
        <v>370381495.39950001</v>
      </c>
    </row>
    <row r="46" spans="1:97" x14ac:dyDescent="0.25">
      <c r="A46" t="s">
        <v>48</v>
      </c>
      <c r="B46" s="2"/>
      <c r="C46" s="23">
        <v>489172177.20850003</v>
      </c>
      <c r="D46" s="4">
        <v>489172177.20850003</v>
      </c>
      <c r="E46" s="4">
        <v>489172177.20850003</v>
      </c>
      <c r="F46" s="4">
        <v>489172177.20850003</v>
      </c>
      <c r="G46" s="4">
        <v>489172177.20850003</v>
      </c>
      <c r="H46" s="4">
        <v>489172177.20850003</v>
      </c>
      <c r="I46" s="4">
        <v>489172177.20850003</v>
      </c>
      <c r="J46" s="4">
        <v>489172177.20850003</v>
      </c>
      <c r="K46" s="4">
        <v>489172177.20850003</v>
      </c>
      <c r="L46" s="23">
        <v>489172177.20850003</v>
      </c>
      <c r="M46" s="4">
        <v>489172177.20850003</v>
      </c>
      <c r="N46" s="4">
        <v>489172177.20850003</v>
      </c>
      <c r="O46" s="23">
        <v>489172177.20850003</v>
      </c>
      <c r="P46" s="4">
        <v>489172177.20850003</v>
      </c>
      <c r="Q46" s="4">
        <v>471204987.63950002</v>
      </c>
      <c r="R46" s="4">
        <v>471204987.63950002</v>
      </c>
      <c r="S46" s="4">
        <v>471204987.63950002</v>
      </c>
      <c r="T46" s="23">
        <v>471204987.63950002</v>
      </c>
      <c r="U46" s="39">
        <v>471204987.63950002</v>
      </c>
      <c r="V46" s="39">
        <v>471204987.63950002</v>
      </c>
      <c r="W46" s="39">
        <v>471204987.63950002</v>
      </c>
      <c r="X46" s="39">
        <v>471204987.63950002</v>
      </c>
      <c r="Y46" s="23">
        <v>471204987.63950002</v>
      </c>
      <c r="Z46" s="39">
        <v>471204987.63950002</v>
      </c>
      <c r="AA46" s="39">
        <v>471204987.63950002</v>
      </c>
      <c r="AB46" s="39">
        <v>471204987.63950002</v>
      </c>
      <c r="AC46" s="39">
        <v>471204987.63950002</v>
      </c>
      <c r="AD46" s="4">
        <v>471204987.63950002</v>
      </c>
      <c r="AE46" s="4">
        <v>471204987.63950002</v>
      </c>
      <c r="AF46" s="4">
        <v>516721687.80400002</v>
      </c>
      <c r="AG46" s="4">
        <v>516721687.80400002</v>
      </c>
      <c r="AH46" s="4">
        <v>516721687.80400002</v>
      </c>
      <c r="AI46" s="4">
        <v>516721687.80400002</v>
      </c>
      <c r="AJ46" s="23">
        <v>516721687.80400002</v>
      </c>
      <c r="AK46" s="39">
        <v>516721687.80400002</v>
      </c>
      <c r="AL46" s="39">
        <v>516721687.80400002</v>
      </c>
      <c r="AM46" s="39">
        <v>516721687.80400002</v>
      </c>
      <c r="AN46" s="39">
        <v>516721687.80400002</v>
      </c>
      <c r="AO46" s="4">
        <v>516721687.80400002</v>
      </c>
      <c r="AP46" s="23">
        <v>516721687.80400002</v>
      </c>
      <c r="AQ46" s="4">
        <v>516721687.80400002</v>
      </c>
      <c r="AR46" s="4">
        <v>516721687.80400002</v>
      </c>
      <c r="AS46" s="4">
        <v>516721687.80400002</v>
      </c>
      <c r="AT46" s="4">
        <v>516721687.80400002</v>
      </c>
      <c r="AU46" s="4">
        <v>516721687.80400002</v>
      </c>
      <c r="AV46" s="23">
        <v>516721687.80400002</v>
      </c>
      <c r="AW46" s="4">
        <v>516721687.80400002</v>
      </c>
      <c r="AX46" s="4">
        <v>516721687.80400002</v>
      </c>
      <c r="AY46" s="4">
        <v>516721687.80400002</v>
      </c>
      <c r="AZ46" s="4">
        <v>516721687.80400002</v>
      </c>
      <c r="BA46" s="4">
        <v>516721687.80400002</v>
      </c>
      <c r="BB46" s="23">
        <v>516721687.80400002</v>
      </c>
      <c r="BC46" s="4">
        <v>516721687.80400002</v>
      </c>
      <c r="BD46" s="4">
        <v>516721687.80400002</v>
      </c>
      <c r="BE46" s="4">
        <v>516721687.80400002</v>
      </c>
      <c r="BF46" s="4">
        <v>516721687.80400002</v>
      </c>
      <c r="BG46" s="4">
        <v>529272345.94050002</v>
      </c>
      <c r="BH46" s="4">
        <v>529272345.94050002</v>
      </c>
      <c r="BI46" s="23">
        <v>529272345.94050002</v>
      </c>
      <c r="BJ46" s="35">
        <v>529272345.94050002</v>
      </c>
      <c r="BK46" s="4">
        <v>529272345.94050002</v>
      </c>
      <c r="BL46" s="35">
        <v>529272345.94050002</v>
      </c>
      <c r="BM46" s="4">
        <v>529272345.94050002</v>
      </c>
      <c r="BN46" s="4">
        <v>529272345.94050002</v>
      </c>
      <c r="BO46" s="4">
        <v>529272345.94050002</v>
      </c>
      <c r="BP46" s="4">
        <v>529272345.94050002</v>
      </c>
      <c r="BQ46" s="35">
        <v>529272345.94050002</v>
      </c>
      <c r="BR46" s="4">
        <v>529272345.94050002</v>
      </c>
      <c r="BS46" s="35">
        <v>529272345.94050002</v>
      </c>
      <c r="BT46" s="4">
        <v>529272345.94050002</v>
      </c>
      <c r="BU46" s="4">
        <v>529272345.94050002</v>
      </c>
      <c r="BV46" s="4">
        <v>529272345.94050002</v>
      </c>
      <c r="BW46" s="4">
        <v>529272345.94050002</v>
      </c>
      <c r="BX46" s="4">
        <v>529272345.94050002</v>
      </c>
      <c r="BY46" s="4">
        <v>529272345.94050002</v>
      </c>
      <c r="BZ46" s="4">
        <v>529272345.94050002</v>
      </c>
      <c r="CA46" s="4">
        <v>529272345.94050002</v>
      </c>
      <c r="CB46" s="4">
        <v>529272345.94050002</v>
      </c>
      <c r="CC46" s="4">
        <v>529272345.94050002</v>
      </c>
      <c r="CD46" s="4">
        <v>529272345.94050002</v>
      </c>
      <c r="CE46" s="4">
        <v>529272345.94050002</v>
      </c>
      <c r="CF46" s="4">
        <v>529272345.94050002</v>
      </c>
      <c r="CG46" s="4">
        <v>529272345.94050002</v>
      </c>
      <c r="CH46" s="4">
        <v>529272345.94050002</v>
      </c>
      <c r="CI46" s="4">
        <v>529272345.94050002</v>
      </c>
      <c r="CJ46" s="35">
        <v>529272345.94050002</v>
      </c>
      <c r="CK46" s="4">
        <v>529272345.94050002</v>
      </c>
      <c r="CL46" s="35">
        <v>529272345.94050002</v>
      </c>
      <c r="CM46" s="4">
        <v>529272345.94050002</v>
      </c>
      <c r="CN46" s="4">
        <v>529272345.94050002</v>
      </c>
      <c r="CO46" s="4">
        <v>529272345.94050002</v>
      </c>
      <c r="CP46" s="4">
        <v>529272345.94050002</v>
      </c>
      <c r="CQ46" s="4">
        <v>529272345.94050002</v>
      </c>
      <c r="CR46" s="4">
        <v>529272345.94050002</v>
      </c>
      <c r="CS46" s="4">
        <v>529272345.94050002</v>
      </c>
    </row>
    <row r="47" spans="1:97" x14ac:dyDescent="0.25">
      <c r="A47" t="s">
        <v>49</v>
      </c>
      <c r="B47" s="2"/>
      <c r="C47" s="23">
        <v>768207513.51250005</v>
      </c>
      <c r="D47" s="4">
        <v>768207513.51250005</v>
      </c>
      <c r="E47" s="4">
        <v>768207513.51250005</v>
      </c>
      <c r="F47" s="4">
        <v>768207513.51250005</v>
      </c>
      <c r="G47" s="4">
        <v>768207513.51250005</v>
      </c>
      <c r="H47" s="4">
        <v>768207513.51250005</v>
      </c>
      <c r="I47" s="4">
        <v>768207513.51250005</v>
      </c>
      <c r="J47" s="4">
        <v>768207513.51250005</v>
      </c>
      <c r="K47" s="4">
        <v>768207513.51250005</v>
      </c>
      <c r="L47" s="23">
        <v>768207513.51250005</v>
      </c>
      <c r="M47" s="4">
        <v>768207513.51250005</v>
      </c>
      <c r="N47" s="4">
        <v>768207513.51250005</v>
      </c>
      <c r="O47" s="23">
        <v>768207513.51250005</v>
      </c>
      <c r="P47" s="4">
        <v>768207513.51250005</v>
      </c>
      <c r="Q47" s="4">
        <v>745838284.85000014</v>
      </c>
      <c r="R47" s="4">
        <v>745838284.85000014</v>
      </c>
      <c r="S47" s="4">
        <v>745838284.85000014</v>
      </c>
      <c r="T47" s="23">
        <v>745838284.85000014</v>
      </c>
      <c r="U47" s="39">
        <v>745838284.85000014</v>
      </c>
      <c r="V47" s="39">
        <v>745838284.85000014</v>
      </c>
      <c r="W47" s="39">
        <v>745838284.85000014</v>
      </c>
      <c r="X47" s="39">
        <v>745838284.85000014</v>
      </c>
      <c r="Y47" s="23">
        <v>745838284.85000014</v>
      </c>
      <c r="Z47" s="39">
        <v>745838284.85000014</v>
      </c>
      <c r="AA47" s="39">
        <v>745838284.85000014</v>
      </c>
      <c r="AB47" s="39">
        <v>745838284.85000014</v>
      </c>
      <c r="AC47" s="39">
        <v>745838284.85000014</v>
      </c>
      <c r="AD47" s="4">
        <v>745838284.85000014</v>
      </c>
      <c r="AE47" s="4">
        <v>745838284.85000014</v>
      </c>
      <c r="AF47" s="4">
        <v>799921803.28900003</v>
      </c>
      <c r="AG47" s="4">
        <v>799921803.28900003</v>
      </c>
      <c r="AH47" s="4">
        <v>799921803.28900003</v>
      </c>
      <c r="AI47" s="4">
        <v>799921803.28900003</v>
      </c>
      <c r="AJ47" s="23">
        <v>799921803.28900003</v>
      </c>
      <c r="AK47" s="39">
        <v>799921803.28900003</v>
      </c>
      <c r="AL47" s="39">
        <v>799921803.28900003</v>
      </c>
      <c r="AM47" s="39">
        <v>799921803.28900003</v>
      </c>
      <c r="AN47" s="39">
        <v>799921803.28900003</v>
      </c>
      <c r="AO47" s="4">
        <v>799921803.28900003</v>
      </c>
      <c r="AP47" s="23">
        <v>799921803.28900003</v>
      </c>
      <c r="AQ47" s="4">
        <v>799921803.28900003</v>
      </c>
      <c r="AR47" s="4">
        <v>799921803.28900003</v>
      </c>
      <c r="AS47" s="4">
        <v>799921803.28900003</v>
      </c>
      <c r="AT47" s="4">
        <v>799921803.28900003</v>
      </c>
      <c r="AU47" s="4">
        <v>799921803.28900003</v>
      </c>
      <c r="AV47" s="23">
        <v>799921803.28900003</v>
      </c>
      <c r="AW47" s="4">
        <v>799921803.28900003</v>
      </c>
      <c r="AX47" s="4">
        <v>799921803.28900003</v>
      </c>
      <c r="AY47" s="4">
        <v>799921803.28900003</v>
      </c>
      <c r="AZ47" s="4">
        <v>799921803.28900003</v>
      </c>
      <c r="BA47" s="4">
        <v>799921803.28900003</v>
      </c>
      <c r="BB47" s="23">
        <v>799921803.28900003</v>
      </c>
      <c r="BC47" s="4">
        <v>799921803.28900003</v>
      </c>
      <c r="BD47" s="4">
        <v>799921803.28900003</v>
      </c>
      <c r="BE47" s="4">
        <v>799921803.28900003</v>
      </c>
      <c r="BF47" s="4">
        <v>799921803.28900003</v>
      </c>
      <c r="BG47" s="4">
        <v>814853110.83000016</v>
      </c>
      <c r="BH47" s="4">
        <v>814853110.83000016</v>
      </c>
      <c r="BI47" s="23">
        <v>814853110.83000016</v>
      </c>
      <c r="BJ47" s="35">
        <v>814853110.83000016</v>
      </c>
      <c r="BK47" s="4">
        <v>814853110.83000016</v>
      </c>
      <c r="BL47" s="35">
        <v>814853110.83000016</v>
      </c>
      <c r="BM47" s="4">
        <v>814853110.83000016</v>
      </c>
      <c r="BN47" s="4">
        <v>814853110.83000016</v>
      </c>
      <c r="BO47" s="4">
        <v>814853110.83000016</v>
      </c>
      <c r="BP47" s="4">
        <v>814853110.83000016</v>
      </c>
      <c r="BQ47" s="35">
        <v>814853110.83000016</v>
      </c>
      <c r="BR47" s="4">
        <v>814853110.83000016</v>
      </c>
      <c r="BS47" s="35">
        <v>814853110.83000016</v>
      </c>
      <c r="BT47" s="4">
        <v>814853110.83000016</v>
      </c>
      <c r="BU47" s="4">
        <v>814853110.83000016</v>
      </c>
      <c r="BV47" s="4">
        <v>814853110.83000016</v>
      </c>
      <c r="BW47" s="4">
        <v>814853110.83000016</v>
      </c>
      <c r="BX47" s="4">
        <v>814853110.83000016</v>
      </c>
      <c r="BY47" s="4">
        <v>814853110.83000016</v>
      </c>
      <c r="BZ47" s="4">
        <v>814853110.83000004</v>
      </c>
      <c r="CA47" s="4">
        <v>814853110.83000004</v>
      </c>
      <c r="CB47" s="4">
        <v>814853110.83000016</v>
      </c>
      <c r="CC47" s="4">
        <v>814853110.83000016</v>
      </c>
      <c r="CD47" s="4">
        <v>814853110.83000016</v>
      </c>
      <c r="CE47" s="4">
        <v>814853110.83000016</v>
      </c>
      <c r="CF47" s="4">
        <v>814853110.83000016</v>
      </c>
      <c r="CG47" s="4">
        <v>814853110.83000016</v>
      </c>
      <c r="CH47" s="4">
        <v>814853110.83000016</v>
      </c>
      <c r="CI47" s="4">
        <v>814853110.83000016</v>
      </c>
      <c r="CJ47" s="35">
        <v>814853110.83000016</v>
      </c>
      <c r="CK47" s="4">
        <v>814853110.83000016</v>
      </c>
      <c r="CL47" s="35">
        <v>814853110.83000016</v>
      </c>
      <c r="CM47" s="4">
        <v>814853110.83000016</v>
      </c>
      <c r="CN47" s="4">
        <v>814853110.83000016</v>
      </c>
      <c r="CO47" s="4">
        <v>814853110.83000016</v>
      </c>
      <c r="CP47" s="4">
        <v>814853110.83000016</v>
      </c>
      <c r="CQ47" s="4">
        <v>814853110.83000016</v>
      </c>
      <c r="CR47" s="4">
        <v>814853110.83000016</v>
      </c>
      <c r="CS47" s="4">
        <v>814853110.83000016</v>
      </c>
    </row>
    <row r="48" spans="1:97" x14ac:dyDescent="0.25">
      <c r="B48" s="2"/>
      <c r="C48" s="23"/>
      <c r="D48" s="4"/>
      <c r="E48" s="4"/>
      <c r="F48" s="4"/>
      <c r="G48" s="4"/>
      <c r="H48" s="4"/>
      <c r="I48" s="4"/>
      <c r="J48" s="4"/>
      <c r="K48" s="4"/>
      <c r="L48" s="23"/>
      <c r="M48" s="4"/>
      <c r="N48" s="4"/>
      <c r="O48" s="23"/>
      <c r="P48" s="4"/>
      <c r="Q48" s="4"/>
      <c r="R48" s="4"/>
      <c r="S48" s="4"/>
      <c r="T48" s="23"/>
      <c r="U48" s="39"/>
      <c r="V48" s="39"/>
      <c r="W48" s="39"/>
      <c r="X48" s="39"/>
      <c r="Y48" s="23"/>
      <c r="Z48" s="39"/>
      <c r="AA48" s="39"/>
      <c r="AB48" s="39"/>
      <c r="AC48" s="39"/>
      <c r="AD48" s="4"/>
      <c r="AE48" s="4"/>
      <c r="AF48" s="4"/>
      <c r="AG48" s="4"/>
      <c r="AH48" s="4"/>
      <c r="AI48" s="4"/>
      <c r="AJ48" s="23"/>
      <c r="AK48" s="39"/>
      <c r="AL48" s="39"/>
      <c r="AM48" s="39"/>
      <c r="AN48" s="39"/>
      <c r="AO48" s="4"/>
      <c r="AP48" s="23"/>
      <c r="AQ48" s="4"/>
      <c r="AR48" s="4"/>
      <c r="AS48" s="4"/>
      <c r="AT48" s="4"/>
      <c r="AU48" s="4"/>
      <c r="AV48" s="23"/>
      <c r="AW48" s="4"/>
      <c r="AX48" s="4"/>
      <c r="AY48" s="4"/>
      <c r="AZ48" s="4"/>
      <c r="BA48" s="4"/>
      <c r="BB48" s="23"/>
      <c r="BC48" s="4"/>
      <c r="BD48" s="4"/>
      <c r="BE48" s="4"/>
      <c r="BF48" s="4"/>
      <c r="BG48" s="4"/>
      <c r="BH48" s="4"/>
      <c r="BI48" s="23"/>
      <c r="BJ48" s="35"/>
      <c r="BK48" s="4"/>
      <c r="BL48" s="35"/>
      <c r="BM48" s="4"/>
      <c r="BN48" s="4"/>
      <c r="BO48" s="4"/>
      <c r="BP48" s="4"/>
      <c r="BQ48" s="35"/>
      <c r="BR48" s="4"/>
      <c r="BS48" s="35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35"/>
      <c r="CK48" s="4"/>
      <c r="CL48" s="35"/>
      <c r="CM48" s="4"/>
      <c r="CN48" s="4"/>
      <c r="CO48" s="4"/>
      <c r="CP48" s="4"/>
      <c r="CQ48" s="4"/>
      <c r="CR48" s="4"/>
      <c r="CS48" s="4"/>
    </row>
    <row r="49" spans="1:97" x14ac:dyDescent="0.25">
      <c r="A49" s="1" t="s">
        <v>50</v>
      </c>
      <c r="B49" s="2" t="s">
        <v>51</v>
      </c>
      <c r="C49" s="23">
        <v>4326157448.2300005</v>
      </c>
      <c r="D49" s="4">
        <v>4326157448.2300005</v>
      </c>
      <c r="E49" s="4">
        <v>4326157448.2300005</v>
      </c>
      <c r="F49" s="4">
        <v>4326157448.2300005</v>
      </c>
      <c r="G49" s="4">
        <v>4326157448.2300005</v>
      </c>
      <c r="H49" s="4">
        <v>4326157448.2300005</v>
      </c>
      <c r="I49" s="4">
        <v>4326157448.2300005</v>
      </c>
      <c r="J49" s="4">
        <v>4326157448.2300005</v>
      </c>
      <c r="K49" s="4">
        <v>4326157448.2300005</v>
      </c>
      <c r="L49" s="23">
        <v>4326157448.2300005</v>
      </c>
      <c r="M49" s="4">
        <v>4326157448.2300005</v>
      </c>
      <c r="N49" s="4">
        <v>4326157448.2300005</v>
      </c>
      <c r="O49" s="23">
        <v>4326157448.2300005</v>
      </c>
      <c r="P49" s="4">
        <v>4326157448.2300005</v>
      </c>
      <c r="Q49" s="4">
        <v>4025140411.96</v>
      </c>
      <c r="R49" s="4">
        <v>4025140411.96</v>
      </c>
      <c r="S49" s="4">
        <v>4025140411.96</v>
      </c>
      <c r="T49" s="23">
        <v>4025140411.96</v>
      </c>
      <c r="U49" s="39">
        <v>4025140411.96</v>
      </c>
      <c r="V49" s="39">
        <v>4025140411.96</v>
      </c>
      <c r="W49" s="39">
        <v>4025140411.96</v>
      </c>
      <c r="X49" s="39">
        <v>4025140411.96</v>
      </c>
      <c r="Y49" s="23">
        <v>4025140411.96</v>
      </c>
      <c r="Z49" s="39">
        <v>4025140411.96</v>
      </c>
      <c r="AA49" s="39">
        <v>4025140411.96</v>
      </c>
      <c r="AB49" s="39">
        <v>4025140411.96</v>
      </c>
      <c r="AC49" s="39">
        <v>4025140411.96</v>
      </c>
      <c r="AD49" s="4">
        <v>4025140411.96</v>
      </c>
      <c r="AE49" s="4">
        <v>4025140411.96</v>
      </c>
      <c r="AF49" s="4">
        <v>4486309153.8600006</v>
      </c>
      <c r="AG49" s="4">
        <v>4486309153.8600006</v>
      </c>
      <c r="AH49" s="4">
        <v>4486309153.8600006</v>
      </c>
      <c r="AI49" s="4">
        <v>4486309153.8600006</v>
      </c>
      <c r="AJ49" s="23">
        <v>4486309153.8600006</v>
      </c>
      <c r="AK49" s="39">
        <v>4486309153.8600006</v>
      </c>
      <c r="AL49" s="39">
        <v>4486309153.8600006</v>
      </c>
      <c r="AM49" s="39">
        <v>4486309153.8600006</v>
      </c>
      <c r="AN49" s="39">
        <v>4486309153.8600006</v>
      </c>
      <c r="AO49" s="4">
        <v>4486309153.8600006</v>
      </c>
      <c r="AP49" s="23">
        <v>4486309153.8600006</v>
      </c>
      <c r="AQ49" s="4">
        <v>4486309153.8600006</v>
      </c>
      <c r="AR49" s="4">
        <v>4486309153.8600006</v>
      </c>
      <c r="AS49" s="4">
        <v>4486309153.8600006</v>
      </c>
      <c r="AT49" s="4">
        <v>4486309153.8600006</v>
      </c>
      <c r="AU49" s="4">
        <v>4486309153.8600006</v>
      </c>
      <c r="AV49" s="23">
        <v>4486309153.8600006</v>
      </c>
      <c r="AW49" s="4">
        <v>4486309153.8600006</v>
      </c>
      <c r="AX49" s="4">
        <v>4486309153.8600006</v>
      </c>
      <c r="AY49" s="4">
        <v>4486309153.8600006</v>
      </c>
      <c r="AZ49" s="4">
        <v>4486309153.8600006</v>
      </c>
      <c r="BA49" s="4">
        <v>4486309153.8600006</v>
      </c>
      <c r="BB49" s="23">
        <v>4486309153.8600006</v>
      </c>
      <c r="BC49" s="4">
        <v>4486309153.8600006</v>
      </c>
      <c r="BD49" s="4">
        <v>4486309153.8600006</v>
      </c>
      <c r="BE49" s="4">
        <v>4486309153.8600006</v>
      </c>
      <c r="BF49" s="4">
        <v>4486309153.8600006</v>
      </c>
      <c r="BG49" s="4">
        <v>4410940788.6300001</v>
      </c>
      <c r="BH49" s="4">
        <v>4410940788.6300001</v>
      </c>
      <c r="BI49" s="23">
        <v>4410940788.6300001</v>
      </c>
      <c r="BJ49" s="35">
        <v>4410940788.6300001</v>
      </c>
      <c r="BK49" s="4">
        <v>4410940788.6300001</v>
      </c>
      <c r="BL49" s="35">
        <v>4410940788.6300001</v>
      </c>
      <c r="BM49" s="4">
        <v>4410940788.6300001</v>
      </c>
      <c r="BN49" s="4">
        <v>4410940788.6300001</v>
      </c>
      <c r="BO49" s="4">
        <v>4410940788.6300001</v>
      </c>
      <c r="BP49" s="4">
        <v>4410940788.6300001</v>
      </c>
      <c r="BQ49" s="35">
        <v>4410940788.6300001</v>
      </c>
      <c r="BR49" s="4">
        <v>4410940788.6300001</v>
      </c>
      <c r="BS49" s="35">
        <v>4410940788.6300001</v>
      </c>
      <c r="BT49" s="4">
        <v>4410940788.6300001</v>
      </c>
      <c r="BU49" s="4">
        <v>4410940788.6300001</v>
      </c>
      <c r="BV49" s="4">
        <v>4410940788.6300001</v>
      </c>
      <c r="BW49" s="4">
        <v>4410940788.6300001</v>
      </c>
      <c r="BX49" s="4">
        <v>4410940788.6300001</v>
      </c>
      <c r="BY49" s="4">
        <v>4410940788.6300001</v>
      </c>
      <c r="BZ49" s="4">
        <v>4410940788.6300001</v>
      </c>
      <c r="CA49" s="4">
        <v>4410940788.6300001</v>
      </c>
      <c r="CB49" s="4">
        <v>4410940788.6300001</v>
      </c>
      <c r="CC49" s="4">
        <v>4410940788.6300001</v>
      </c>
      <c r="CD49" s="4">
        <v>4410940788.6300001</v>
      </c>
      <c r="CE49" s="4">
        <v>4410940788.6300001</v>
      </c>
      <c r="CF49" s="4">
        <v>4410940788.6300001</v>
      </c>
      <c r="CG49" s="4">
        <v>4410940788.6300001</v>
      </c>
      <c r="CH49" s="4">
        <v>4410940788.6300001</v>
      </c>
      <c r="CI49" s="4">
        <v>4410940788.6300001</v>
      </c>
      <c r="CJ49" s="35">
        <v>4410940788.6300001</v>
      </c>
      <c r="CK49" s="4">
        <v>4410940788.6300001</v>
      </c>
      <c r="CL49" s="35">
        <v>4410940788.6300001</v>
      </c>
      <c r="CM49" s="4">
        <v>4410940788.6300001</v>
      </c>
      <c r="CN49" s="4">
        <v>4410940788.6300001</v>
      </c>
      <c r="CO49" s="4">
        <v>4410940788.6300001</v>
      </c>
      <c r="CP49" s="4">
        <v>4410940788.6300001</v>
      </c>
      <c r="CQ49" s="4">
        <v>4410940788.6300001</v>
      </c>
      <c r="CR49" s="4">
        <v>4410940788.6300001</v>
      </c>
      <c r="CS49" s="4">
        <v>4410940788.6300001</v>
      </c>
    </row>
    <row r="50" spans="1:97" x14ac:dyDescent="0.25">
      <c r="A50" t="s">
        <v>52</v>
      </c>
      <c r="B50" s="2" t="s">
        <v>53</v>
      </c>
      <c r="C50" s="23">
        <v>1851426431.1000001</v>
      </c>
      <c r="D50" s="4">
        <v>1851426431.1000001</v>
      </c>
      <c r="E50" s="4">
        <v>1851426431.1000001</v>
      </c>
      <c r="F50" s="4">
        <v>1851426431.1000001</v>
      </c>
      <c r="G50" s="4">
        <v>1851426431.1000001</v>
      </c>
      <c r="H50" s="4">
        <v>1851426431.1000001</v>
      </c>
      <c r="I50" s="4">
        <v>1851426431.1000001</v>
      </c>
      <c r="J50" s="4">
        <v>1851426431.1000001</v>
      </c>
      <c r="K50" s="4">
        <v>1851426431.1000001</v>
      </c>
      <c r="L50" s="23">
        <v>1851426431.1000001</v>
      </c>
      <c r="M50" s="4">
        <v>1851426431.1000001</v>
      </c>
      <c r="N50" s="4">
        <v>1851426431.1000001</v>
      </c>
      <c r="O50" s="23">
        <v>1851426431.1000001</v>
      </c>
      <c r="P50" s="4">
        <v>1851426431.1000001</v>
      </c>
      <c r="Q50" s="4">
        <v>1798211750.6700001</v>
      </c>
      <c r="R50" s="4">
        <v>1798211750.6700001</v>
      </c>
      <c r="S50" s="4">
        <v>1798211750.6700001</v>
      </c>
      <c r="T50" s="23">
        <v>1798211750.6700001</v>
      </c>
      <c r="U50" s="39">
        <v>1798211750.6700001</v>
      </c>
      <c r="V50" s="39">
        <v>1798211750.6700001</v>
      </c>
      <c r="W50" s="39">
        <v>1798211750.6700001</v>
      </c>
      <c r="X50" s="39">
        <v>1798211750.6700001</v>
      </c>
      <c r="Y50" s="23">
        <v>1798211750.6700001</v>
      </c>
      <c r="Z50" s="39">
        <v>1798211750.6700001</v>
      </c>
      <c r="AA50" s="39">
        <v>1798211750.6700001</v>
      </c>
      <c r="AB50" s="39">
        <v>1798211750.6700001</v>
      </c>
      <c r="AC50" s="39">
        <v>1798211750.6700001</v>
      </c>
      <c r="AD50" s="4">
        <v>1798211750.6700001</v>
      </c>
      <c r="AE50" s="4">
        <v>1798211750.6700001</v>
      </c>
      <c r="AF50" s="4">
        <v>1883977334.6700001</v>
      </c>
      <c r="AG50" s="4">
        <v>1883977334.6700001</v>
      </c>
      <c r="AH50" s="4">
        <v>1883977334.6700001</v>
      </c>
      <c r="AI50" s="4">
        <v>1883977334.6700001</v>
      </c>
      <c r="AJ50" s="23">
        <v>1883977334.6700001</v>
      </c>
      <c r="AK50" s="39">
        <v>1883977334.6700001</v>
      </c>
      <c r="AL50" s="39">
        <v>1883977334.6700001</v>
      </c>
      <c r="AM50" s="39">
        <v>1883977334.6700001</v>
      </c>
      <c r="AN50" s="39">
        <v>1883977334.6700001</v>
      </c>
      <c r="AO50" s="4">
        <v>1883977334.6700001</v>
      </c>
      <c r="AP50" s="23">
        <v>1883977334.6700001</v>
      </c>
      <c r="AQ50" s="4">
        <v>1883977334.6700001</v>
      </c>
      <c r="AR50" s="4">
        <v>1883977334.6700001</v>
      </c>
      <c r="AS50" s="4">
        <v>1883977334.6700001</v>
      </c>
      <c r="AT50" s="4">
        <v>1883977334.6700001</v>
      </c>
      <c r="AU50" s="4">
        <v>1883977334.6700001</v>
      </c>
      <c r="AV50" s="23">
        <v>1883977334.6700001</v>
      </c>
      <c r="AW50" s="4">
        <v>1883977334.6700001</v>
      </c>
      <c r="AX50" s="4">
        <v>1883977334.6700001</v>
      </c>
      <c r="AY50" s="4">
        <v>1883977334.6700001</v>
      </c>
      <c r="AZ50" s="4">
        <v>1883977334.6700001</v>
      </c>
      <c r="BA50" s="4">
        <v>1883977334.6700001</v>
      </c>
      <c r="BB50" s="23">
        <v>1883977334.6700001</v>
      </c>
      <c r="BC50" s="4">
        <v>1883977334.6700001</v>
      </c>
      <c r="BD50" s="4">
        <v>1883977334.6700001</v>
      </c>
      <c r="BE50" s="4">
        <v>1883977334.6700001</v>
      </c>
      <c r="BF50" s="4">
        <v>1883977334.6700001</v>
      </c>
      <c r="BG50" s="4">
        <v>1889779563.1200001</v>
      </c>
      <c r="BH50" s="4">
        <v>1889779563.1200001</v>
      </c>
      <c r="BI50" s="23">
        <v>1889779563.1200001</v>
      </c>
      <c r="BJ50" s="35">
        <v>1889779563.1200001</v>
      </c>
      <c r="BK50" s="4">
        <v>1889779563.1200001</v>
      </c>
      <c r="BL50" s="35">
        <f>1889779563.12+15000000</f>
        <v>1904779563.1199999</v>
      </c>
      <c r="BM50" s="9">
        <f>1889779563.12-15000000</f>
        <v>1874779563.1199999</v>
      </c>
      <c r="BN50" s="4">
        <v>1889779563.1200001</v>
      </c>
      <c r="BO50" s="4">
        <v>1889779563.1200001</v>
      </c>
      <c r="BP50" s="4">
        <v>1889779563.1200001</v>
      </c>
      <c r="BQ50" s="35">
        <v>1889779563.1200001</v>
      </c>
      <c r="BR50" s="9">
        <f>1889779563.12+15000000</f>
        <v>1904779563.1199999</v>
      </c>
      <c r="BS50" s="35">
        <f>1889779563.12-15000000</f>
        <v>1874779563.1199999</v>
      </c>
      <c r="BT50" s="4">
        <v>1889779563.1200001</v>
      </c>
      <c r="BU50" s="4">
        <v>1889779563.1200001</v>
      </c>
      <c r="BV50" s="4">
        <v>1889779563.1200001</v>
      </c>
      <c r="BW50" s="9">
        <f>1889779563.12</f>
        <v>1889779563.1199999</v>
      </c>
      <c r="BX50" s="9">
        <f>1889779563.12-5000000</f>
        <v>1884779563.1199999</v>
      </c>
      <c r="BY50" s="9">
        <f>1889779563.12+5000000</f>
        <v>1894779563.1199999</v>
      </c>
      <c r="BZ50" s="4">
        <v>1889779563.1200001</v>
      </c>
      <c r="CA50" s="4">
        <v>1889779563.1200001</v>
      </c>
      <c r="CB50" s="4">
        <v>1889779563.1200001</v>
      </c>
      <c r="CC50" s="9">
        <f>1889779563.12</f>
        <v>1889779563.1199999</v>
      </c>
      <c r="CD50" s="9">
        <f>1889779563.12-10000000</f>
        <v>1879779563.1199999</v>
      </c>
      <c r="CE50" s="9">
        <f>1889779563.12+10000000</f>
        <v>1899779563.1199999</v>
      </c>
      <c r="CF50" s="4">
        <v>1889779563.1200001</v>
      </c>
      <c r="CG50" s="4">
        <v>1889779563.1200001</v>
      </c>
      <c r="CH50" s="4">
        <v>1889779563.1200001</v>
      </c>
      <c r="CI50" s="4">
        <v>1889779563.1200001</v>
      </c>
      <c r="CJ50" s="35">
        <f>1889779563.12-5000000</f>
        <v>1884779563.1199999</v>
      </c>
      <c r="CK50" s="9">
        <f>1889779563.12+5000000</f>
        <v>1894779563.1199999</v>
      </c>
      <c r="CL50" s="35">
        <v>1889779563.1200001</v>
      </c>
      <c r="CM50" s="4">
        <v>1889779563.1200001</v>
      </c>
      <c r="CN50" s="9">
        <f>1889779563.12-10000000</f>
        <v>1879779563.1199999</v>
      </c>
      <c r="CO50" s="9">
        <f>1889779563.12+10000000</f>
        <v>1899779563.1199999</v>
      </c>
      <c r="CP50" s="4">
        <v>1889779563.1200001</v>
      </c>
      <c r="CQ50" s="4">
        <v>1889779563.1200001</v>
      </c>
      <c r="CR50" s="9">
        <f>1889779563.12-15000000</f>
        <v>1874779563.1199999</v>
      </c>
      <c r="CS50" s="9">
        <f>1889779563.12+15000000</f>
        <v>1904779563.1199999</v>
      </c>
    </row>
    <row r="51" spans="1:97" x14ac:dyDescent="0.25">
      <c r="A51" t="s">
        <v>54</v>
      </c>
      <c r="B51" s="2" t="s">
        <v>53</v>
      </c>
      <c r="C51" s="23">
        <v>625951287.96000004</v>
      </c>
      <c r="D51" s="4">
        <v>625951287.96000004</v>
      </c>
      <c r="E51" s="4">
        <v>625951287.96000004</v>
      </c>
      <c r="F51" s="4">
        <v>625951287.96000004</v>
      </c>
      <c r="G51" s="4">
        <v>625951287.96000004</v>
      </c>
      <c r="H51" s="4">
        <v>625951287.96000004</v>
      </c>
      <c r="I51" s="4">
        <v>625951287.96000004</v>
      </c>
      <c r="J51" s="4">
        <v>625951287.96000004</v>
      </c>
      <c r="K51" s="4">
        <v>625951287.96000004</v>
      </c>
      <c r="L51" s="23">
        <v>625951287.96000004</v>
      </c>
      <c r="M51" s="7">
        <f>625951287.96+150000000</f>
        <v>775951287.96000004</v>
      </c>
      <c r="N51" s="7">
        <f>625951287.96-150000000</f>
        <v>475951287.96000004</v>
      </c>
      <c r="O51" s="23">
        <v>625951287.96000004</v>
      </c>
      <c r="P51" s="4">
        <v>625951287.96000004</v>
      </c>
      <c r="Q51" s="4">
        <v>632080814.28999996</v>
      </c>
      <c r="R51" s="4">
        <v>632080814.28999996</v>
      </c>
      <c r="S51" s="4">
        <v>632080814.28999996</v>
      </c>
      <c r="T51" s="23">
        <v>632080814.28999996</v>
      </c>
      <c r="U51" s="39">
        <v>632080814.28999996</v>
      </c>
      <c r="V51" s="39">
        <v>632080814.28999996</v>
      </c>
      <c r="W51" s="39">
        <v>632080814.28999996</v>
      </c>
      <c r="X51" s="39">
        <v>632080814.28999996</v>
      </c>
      <c r="Y51" s="23">
        <v>632080814.28999996</v>
      </c>
      <c r="Z51" s="39">
        <v>632080814.28999996</v>
      </c>
      <c r="AA51" s="39">
        <v>632080814.28999996</v>
      </c>
      <c r="AB51" s="39">
        <v>632080814.28999996</v>
      </c>
      <c r="AC51" s="39">
        <v>632080814.28999996</v>
      </c>
      <c r="AD51" s="4">
        <v>632080814.28999996</v>
      </c>
      <c r="AE51" s="4">
        <v>632080814.28999996</v>
      </c>
      <c r="AF51" s="4">
        <v>632015880.12</v>
      </c>
      <c r="AG51" s="4">
        <v>632015880.12</v>
      </c>
      <c r="AH51" s="4">
        <v>632015880.12</v>
      </c>
      <c r="AI51" s="4">
        <v>632015880.12</v>
      </c>
      <c r="AJ51" s="23">
        <v>632015880.12</v>
      </c>
      <c r="AK51" s="39">
        <v>632015880.12</v>
      </c>
      <c r="AL51" s="39">
        <v>632015880.12</v>
      </c>
      <c r="AM51" s="39">
        <v>632015880.12</v>
      </c>
      <c r="AN51" s="39">
        <v>632015880.12</v>
      </c>
      <c r="AO51" s="4">
        <v>632015880.12</v>
      </c>
      <c r="AP51" s="23">
        <v>632015880.12</v>
      </c>
      <c r="AQ51" s="4">
        <v>632015880.12</v>
      </c>
      <c r="AR51" s="4">
        <v>632015880.12</v>
      </c>
      <c r="AS51" s="4">
        <v>632015880.12</v>
      </c>
      <c r="AT51" s="4">
        <v>632015880.12</v>
      </c>
      <c r="AU51" s="4">
        <v>632015880.12</v>
      </c>
      <c r="AV51" s="23">
        <v>632015880.12</v>
      </c>
      <c r="AW51" s="4">
        <v>632015880.12</v>
      </c>
      <c r="AX51" s="4">
        <v>632015880.12</v>
      </c>
      <c r="AY51" s="4">
        <v>632015880.12</v>
      </c>
      <c r="AZ51" s="4">
        <v>632015880.12</v>
      </c>
      <c r="BA51" s="4">
        <v>632015880.12</v>
      </c>
      <c r="BB51" s="23">
        <v>632015880.12</v>
      </c>
      <c r="BC51" s="4">
        <v>632015880.12</v>
      </c>
      <c r="BD51" s="4">
        <v>632015880.12</v>
      </c>
      <c r="BE51" s="4">
        <v>632015880.12</v>
      </c>
      <c r="BF51" s="4">
        <v>632015880.12</v>
      </c>
      <c r="BG51" s="4">
        <v>644018723.85000002</v>
      </c>
      <c r="BH51" s="4">
        <v>644018723.85000002</v>
      </c>
      <c r="BI51" s="23">
        <v>644018723.85000002</v>
      </c>
      <c r="BJ51" s="35">
        <v>644018723.85000002</v>
      </c>
      <c r="BK51" s="4">
        <v>644018723.85000002</v>
      </c>
      <c r="BL51" s="35">
        <v>644018723.85000002</v>
      </c>
      <c r="BM51" s="4">
        <v>644018723.85000002</v>
      </c>
      <c r="BN51" s="4">
        <v>644018723.85000002</v>
      </c>
      <c r="BO51" s="4">
        <v>644018723.85000002</v>
      </c>
      <c r="BP51" s="4">
        <v>644018723.85000002</v>
      </c>
      <c r="BQ51" s="35">
        <v>644018723.85000002</v>
      </c>
      <c r="BR51" s="4">
        <v>644018723.85000002</v>
      </c>
      <c r="BS51" s="35">
        <v>644018723.85000002</v>
      </c>
      <c r="BT51" s="4">
        <v>644018723.85000002</v>
      </c>
      <c r="BU51" s="4">
        <v>644018723.85000002</v>
      </c>
      <c r="BV51" s="4">
        <v>644018723.85000002</v>
      </c>
      <c r="BW51" s="4">
        <v>644018723.85000002</v>
      </c>
      <c r="BX51" s="4">
        <v>644018723.85000002</v>
      </c>
      <c r="BY51" s="4">
        <v>644018723.85000002</v>
      </c>
      <c r="BZ51" s="4">
        <v>644018723.85000002</v>
      </c>
      <c r="CA51" s="4">
        <v>644018723.85000002</v>
      </c>
      <c r="CB51" s="4">
        <v>644018723.85000002</v>
      </c>
      <c r="CC51" s="4">
        <v>644018723.85000002</v>
      </c>
      <c r="CD51" s="4">
        <v>644018723.85000002</v>
      </c>
      <c r="CE51" s="4">
        <v>644018723.85000002</v>
      </c>
      <c r="CF51" s="4">
        <v>644018723.85000002</v>
      </c>
      <c r="CG51" s="4">
        <v>644018723.85000002</v>
      </c>
      <c r="CH51" s="4">
        <v>644018723.85000002</v>
      </c>
      <c r="CI51" s="4">
        <v>644018723.85000002</v>
      </c>
      <c r="CJ51" s="35">
        <v>644018723.85000002</v>
      </c>
      <c r="CK51" s="4">
        <v>644018723.85000002</v>
      </c>
      <c r="CL51" s="35">
        <v>644018723.85000002</v>
      </c>
      <c r="CM51" s="4">
        <v>644018723.85000002</v>
      </c>
      <c r="CN51" s="4">
        <v>644018723.85000002</v>
      </c>
      <c r="CO51" s="4">
        <v>644018723.85000002</v>
      </c>
      <c r="CP51" s="4">
        <v>644018723.85000002</v>
      </c>
      <c r="CQ51" s="4">
        <v>644018723.85000002</v>
      </c>
      <c r="CR51" s="4">
        <v>644018723.85000002</v>
      </c>
      <c r="CS51" s="4">
        <v>644018723.85000002</v>
      </c>
    </row>
    <row r="52" spans="1:97" x14ac:dyDescent="0.25">
      <c r="A52" t="s">
        <v>55</v>
      </c>
      <c r="B52" s="2" t="s">
        <v>53</v>
      </c>
      <c r="C52" s="23">
        <v>339180194</v>
      </c>
      <c r="D52" s="4">
        <v>339180194</v>
      </c>
      <c r="E52" s="4">
        <v>339180194</v>
      </c>
      <c r="F52" s="4">
        <v>339180194</v>
      </c>
      <c r="G52" s="4">
        <v>339180194</v>
      </c>
      <c r="H52" s="4">
        <v>339180194</v>
      </c>
      <c r="I52" s="4">
        <v>339180194</v>
      </c>
      <c r="J52" s="4">
        <v>339180194</v>
      </c>
      <c r="K52" s="4">
        <v>339180194</v>
      </c>
      <c r="L52" s="23">
        <v>339180194</v>
      </c>
      <c r="M52" s="4">
        <v>339180194</v>
      </c>
      <c r="N52" s="4">
        <v>339180194</v>
      </c>
      <c r="O52" s="23">
        <f>339180194-100000000</f>
        <v>239180194</v>
      </c>
      <c r="P52" s="7">
        <f>339180194+100000000</f>
        <v>439180194</v>
      </c>
      <c r="Q52" s="4">
        <v>333618469</v>
      </c>
      <c r="R52" s="4">
        <v>333618469</v>
      </c>
      <c r="S52" s="4">
        <v>333618469</v>
      </c>
      <c r="T52" s="23">
        <v>333618469</v>
      </c>
      <c r="U52" s="39">
        <v>333618469</v>
      </c>
      <c r="V52" s="39">
        <v>333618469</v>
      </c>
      <c r="W52" s="39">
        <v>333618469</v>
      </c>
      <c r="X52" s="39">
        <v>333618469</v>
      </c>
      <c r="Y52" s="23">
        <v>333618469</v>
      </c>
      <c r="Z52" s="39">
        <v>333618469</v>
      </c>
      <c r="AA52" s="39">
        <v>333618469</v>
      </c>
      <c r="AB52" s="39">
        <v>333618469</v>
      </c>
      <c r="AC52" s="39">
        <v>333618469</v>
      </c>
      <c r="AD52" s="4">
        <v>333618469</v>
      </c>
      <c r="AE52" s="4">
        <v>333618469</v>
      </c>
      <c r="AF52" s="4">
        <v>341796995</v>
      </c>
      <c r="AG52" s="4">
        <v>341796995</v>
      </c>
      <c r="AH52" s="4">
        <v>341796995</v>
      </c>
      <c r="AI52" s="4">
        <v>341796995</v>
      </c>
      <c r="AJ52" s="23">
        <v>341796995</v>
      </c>
      <c r="AK52" s="39">
        <v>341796995</v>
      </c>
      <c r="AL52" s="39">
        <v>341796995</v>
      </c>
      <c r="AM52" s="39">
        <v>341796995</v>
      </c>
      <c r="AN52" s="39">
        <v>341796995</v>
      </c>
      <c r="AO52" s="4">
        <v>341796995</v>
      </c>
      <c r="AP52" s="23">
        <v>341796995</v>
      </c>
      <c r="AQ52" s="4">
        <v>341796995</v>
      </c>
      <c r="AR52" s="4">
        <v>341796995</v>
      </c>
      <c r="AS52" s="4">
        <v>341796995</v>
      </c>
      <c r="AT52" s="4">
        <v>341796995</v>
      </c>
      <c r="AU52" s="4">
        <v>341796995</v>
      </c>
      <c r="AV52" s="23">
        <v>341796995</v>
      </c>
      <c r="AW52" s="4">
        <v>341796995</v>
      </c>
      <c r="AX52" s="4">
        <v>341796995</v>
      </c>
      <c r="AY52" s="4">
        <v>341796995</v>
      </c>
      <c r="AZ52" s="4">
        <v>341796995</v>
      </c>
      <c r="BA52" s="4">
        <v>341796995</v>
      </c>
      <c r="BB52" s="23">
        <v>341796995</v>
      </c>
      <c r="BC52" s="4">
        <v>341796995</v>
      </c>
      <c r="BD52" s="4">
        <v>341796995</v>
      </c>
      <c r="BE52" s="4">
        <v>341796995</v>
      </c>
      <c r="BF52" s="4">
        <v>341796995</v>
      </c>
      <c r="BG52" s="4">
        <v>168490830</v>
      </c>
      <c r="BH52" s="4">
        <v>168490830</v>
      </c>
      <c r="BI52" s="23">
        <v>168490830</v>
      </c>
      <c r="BJ52" s="35">
        <v>168490830</v>
      </c>
      <c r="BK52" s="4">
        <v>168490830</v>
      </c>
      <c r="BL52" s="35">
        <v>168490830</v>
      </c>
      <c r="BM52" s="4">
        <v>168490830</v>
      </c>
      <c r="BN52" s="4">
        <v>168490830</v>
      </c>
      <c r="BO52" s="4">
        <v>168490830</v>
      </c>
      <c r="BP52" s="4">
        <v>168490830</v>
      </c>
      <c r="BQ52" s="35">
        <v>168490830</v>
      </c>
      <c r="BR52" s="4">
        <f>168490830</f>
        <v>168490830</v>
      </c>
      <c r="BS52" s="35">
        <f>168490830</f>
        <v>168490830</v>
      </c>
      <c r="BT52" s="4">
        <v>168490830</v>
      </c>
      <c r="BU52" s="4">
        <v>168490830</v>
      </c>
      <c r="BV52" s="4">
        <v>168490830</v>
      </c>
      <c r="BW52" s="4">
        <v>168490830</v>
      </c>
      <c r="BX52" s="4">
        <v>168490830</v>
      </c>
      <c r="BY52" s="4">
        <v>168490830</v>
      </c>
      <c r="BZ52" s="4">
        <v>168490830</v>
      </c>
      <c r="CA52" s="4">
        <v>168490830</v>
      </c>
      <c r="CB52" s="4">
        <v>168490830</v>
      </c>
      <c r="CC52" s="4">
        <v>168490830</v>
      </c>
      <c r="CD52" s="4">
        <v>168490830</v>
      </c>
      <c r="CE52" s="4">
        <v>168490830</v>
      </c>
      <c r="CF52" s="4">
        <v>168490830</v>
      </c>
      <c r="CG52" s="4">
        <v>168490830</v>
      </c>
      <c r="CH52" s="4">
        <v>168490830</v>
      </c>
      <c r="CI52" s="4">
        <v>168490830</v>
      </c>
      <c r="CJ52" s="35">
        <v>168490830</v>
      </c>
      <c r="CK52" s="4">
        <v>168490830</v>
      </c>
      <c r="CL52" s="35">
        <v>168490830</v>
      </c>
      <c r="CM52" s="4">
        <v>168490830</v>
      </c>
      <c r="CN52" s="4">
        <v>168490830</v>
      </c>
      <c r="CO52" s="4">
        <v>168490830</v>
      </c>
      <c r="CP52" s="4">
        <v>168490830</v>
      </c>
      <c r="CQ52" s="4">
        <v>168490830</v>
      </c>
      <c r="CR52" s="4">
        <v>168490830</v>
      </c>
      <c r="CS52" s="4">
        <v>168490830</v>
      </c>
    </row>
    <row r="53" spans="1:97" x14ac:dyDescent="0.25">
      <c r="A53" t="s">
        <v>56</v>
      </c>
      <c r="B53" s="2" t="s">
        <v>53</v>
      </c>
      <c r="C53" s="23">
        <v>1102054513</v>
      </c>
      <c r="D53" s="4">
        <v>1102054513</v>
      </c>
      <c r="E53" s="4">
        <v>1102054513</v>
      </c>
      <c r="F53" s="4">
        <v>1102054513</v>
      </c>
      <c r="G53" s="4">
        <v>1102054513</v>
      </c>
      <c r="H53" s="4">
        <v>1102054513</v>
      </c>
      <c r="I53" s="4">
        <v>1102054513</v>
      </c>
      <c r="J53" s="4">
        <v>1102054513</v>
      </c>
      <c r="K53" s="4">
        <v>1102054513</v>
      </c>
      <c r="L53" s="23">
        <v>1102054513</v>
      </c>
      <c r="M53" s="4">
        <v>1102054513</v>
      </c>
      <c r="N53" s="4">
        <v>1102054513</v>
      </c>
      <c r="O53" s="23">
        <v>1102054513</v>
      </c>
      <c r="P53" s="4">
        <v>1102054513</v>
      </c>
      <c r="Q53" s="7">
        <f>1072424333-50000000</f>
        <v>1022424333</v>
      </c>
      <c r="R53" s="4">
        <f>1072424333+50000000</f>
        <v>1122424333</v>
      </c>
      <c r="S53" s="4">
        <v>1072424333</v>
      </c>
      <c r="T53" s="23">
        <v>1072424333</v>
      </c>
      <c r="U53" s="39">
        <v>1072424333</v>
      </c>
      <c r="V53" s="39">
        <v>1072424333</v>
      </c>
      <c r="W53" s="39">
        <v>1072424333</v>
      </c>
      <c r="X53" s="39">
        <v>1072424333</v>
      </c>
      <c r="Y53" s="23">
        <v>1072424333</v>
      </c>
      <c r="Z53" s="39">
        <v>1072424333</v>
      </c>
      <c r="AA53" s="39">
        <v>1072424333</v>
      </c>
      <c r="AB53" s="39">
        <v>1072424333</v>
      </c>
      <c r="AC53" s="39">
        <v>1072424333</v>
      </c>
      <c r="AD53" s="4">
        <v>1072424333</v>
      </c>
      <c r="AE53" s="4">
        <v>1072424333</v>
      </c>
      <c r="AF53" s="4">
        <v>1436083747.0700002</v>
      </c>
      <c r="AG53" s="4">
        <v>1436083747.0700002</v>
      </c>
      <c r="AH53" s="4">
        <v>1436083747.0700002</v>
      </c>
      <c r="AI53" s="4">
        <v>1436083747.0700002</v>
      </c>
      <c r="AJ53" s="23">
        <v>1436083747.0700002</v>
      </c>
      <c r="AK53" s="39">
        <v>1436083747.0700002</v>
      </c>
      <c r="AL53" s="39">
        <v>1436083747.0700002</v>
      </c>
      <c r="AM53" s="39">
        <v>1436083747.0700002</v>
      </c>
      <c r="AN53" s="39">
        <v>1436083747.0700002</v>
      </c>
      <c r="AO53" s="4">
        <v>1436083747.0700002</v>
      </c>
      <c r="AP53" s="23">
        <v>1436083747.0700002</v>
      </c>
      <c r="AQ53" s="4">
        <v>1436083747.0700002</v>
      </c>
      <c r="AR53" s="4">
        <v>1436083747.0700002</v>
      </c>
      <c r="AS53" s="4">
        <v>1436083747.0700002</v>
      </c>
      <c r="AT53" s="4">
        <v>1436083747.0700002</v>
      </c>
      <c r="AU53" s="4">
        <v>1436083747.0700002</v>
      </c>
      <c r="AV53" s="23">
        <v>1436083747.0700002</v>
      </c>
      <c r="AW53" s="4">
        <v>1436083747.0700002</v>
      </c>
      <c r="AX53" s="4">
        <v>1436083747.0700002</v>
      </c>
      <c r="AY53" s="4">
        <v>1436083747.0700002</v>
      </c>
      <c r="AZ53" s="4">
        <v>1436083747.0700002</v>
      </c>
      <c r="BA53" s="4">
        <v>1436083747.0700002</v>
      </c>
      <c r="BB53" s="23">
        <v>1436083747.0700002</v>
      </c>
      <c r="BC53" s="4">
        <v>1436083747.0700002</v>
      </c>
      <c r="BD53" s="4">
        <v>1436083747.0700002</v>
      </c>
      <c r="BE53" s="4">
        <v>1436083747.0700002</v>
      </c>
      <c r="BF53" s="4">
        <v>1436083747.0700002</v>
      </c>
      <c r="BG53" s="4">
        <v>1708651671.6599998</v>
      </c>
      <c r="BH53" s="4">
        <v>1708651671.6599998</v>
      </c>
      <c r="BI53" s="23">
        <v>1708651671.6599998</v>
      </c>
      <c r="BJ53" s="35">
        <v>1708651671.6599998</v>
      </c>
      <c r="BK53" s="4">
        <v>1708651671.6599998</v>
      </c>
      <c r="BL53" s="35">
        <v>1708651671.6599998</v>
      </c>
      <c r="BM53" s="4">
        <v>1708651671.6599998</v>
      </c>
      <c r="BN53" s="4">
        <v>1708651671.6599998</v>
      </c>
      <c r="BO53" s="4">
        <v>1708651671.6599998</v>
      </c>
      <c r="BP53" s="4">
        <v>1708651671.6599998</v>
      </c>
      <c r="BQ53" s="35">
        <v>1708651671.6599998</v>
      </c>
      <c r="BR53" s="4">
        <v>1708651671.6599998</v>
      </c>
      <c r="BS53" s="35">
        <v>1708651671.6599998</v>
      </c>
      <c r="BT53" s="4">
        <v>1708651671.6599998</v>
      </c>
      <c r="BU53" s="4">
        <v>1708651671.6599998</v>
      </c>
      <c r="BV53" s="4">
        <v>1708651671.6599998</v>
      </c>
      <c r="BW53" s="4">
        <f>1708651671.66</f>
        <v>1708651671.6600001</v>
      </c>
      <c r="BX53" s="4">
        <f>1708651671.66</f>
        <v>1708651671.6600001</v>
      </c>
      <c r="BY53" s="4">
        <f>1708651671.66</f>
        <v>1708651671.6600001</v>
      </c>
      <c r="BZ53" s="4">
        <v>1708651671.6599998</v>
      </c>
      <c r="CA53" s="4">
        <v>1708651671.6599998</v>
      </c>
      <c r="CB53" s="4">
        <v>1708651671.6599998</v>
      </c>
      <c r="CC53" s="4">
        <v>1708651671.6599998</v>
      </c>
      <c r="CD53" s="4">
        <v>1708651671.6599998</v>
      </c>
      <c r="CE53" s="4">
        <v>1708651671.6599998</v>
      </c>
      <c r="CF53" s="4">
        <v>1708651671.6599998</v>
      </c>
      <c r="CG53" s="4">
        <v>1708651671.6599998</v>
      </c>
      <c r="CH53" s="4">
        <v>1708651671.6599998</v>
      </c>
      <c r="CI53" s="4">
        <v>1708651671.6599998</v>
      </c>
      <c r="CJ53" s="35">
        <v>1708651671.6599998</v>
      </c>
      <c r="CK53" s="4">
        <v>1708651671.6599998</v>
      </c>
      <c r="CL53" s="35">
        <v>1708651671.6599998</v>
      </c>
      <c r="CM53" s="4">
        <v>1708651671.6599998</v>
      </c>
      <c r="CN53" s="4">
        <v>1708651671.6599998</v>
      </c>
      <c r="CO53" s="4">
        <v>1708651671.6599998</v>
      </c>
      <c r="CP53" s="4">
        <v>1708651671.6599998</v>
      </c>
      <c r="CQ53" s="4">
        <v>1708651671.6599998</v>
      </c>
      <c r="CR53" s="4">
        <v>1708651671.6599998</v>
      </c>
      <c r="CS53" s="4">
        <v>1708651671.6599998</v>
      </c>
    </row>
    <row r="54" spans="1:97" x14ac:dyDescent="0.25">
      <c r="A54" t="s">
        <v>57</v>
      </c>
      <c r="B54" s="2" t="s">
        <v>53</v>
      </c>
      <c r="C54" s="23">
        <v>407545022.16999996</v>
      </c>
      <c r="D54" s="4">
        <v>407545022.16999996</v>
      </c>
      <c r="E54" s="4">
        <v>407545022.16999996</v>
      </c>
      <c r="F54" s="4">
        <v>407545022.16999996</v>
      </c>
      <c r="G54" s="4">
        <v>407545022.16999996</v>
      </c>
      <c r="H54" s="4">
        <v>407545022.16999996</v>
      </c>
      <c r="I54" s="4">
        <v>407545022.16999996</v>
      </c>
      <c r="J54" s="4">
        <v>407545022.16999996</v>
      </c>
      <c r="K54" s="4">
        <v>407545022.16999996</v>
      </c>
      <c r="L54" s="23">
        <v>407545022.16999996</v>
      </c>
      <c r="M54" s="4">
        <v>407545022.16999996</v>
      </c>
      <c r="N54" s="4">
        <v>407545022.16999996</v>
      </c>
      <c r="O54" s="23">
        <v>407545022.16999996</v>
      </c>
      <c r="P54" s="4">
        <v>407545022.16999996</v>
      </c>
      <c r="Q54" s="4">
        <v>188805045</v>
      </c>
      <c r="R54" s="4">
        <v>188805045</v>
      </c>
      <c r="S54" s="4">
        <f>188805045-10000000</f>
        <v>178805045</v>
      </c>
      <c r="T54" s="23">
        <f>188805045+10000000</f>
        <v>198805045</v>
      </c>
      <c r="U54" s="39">
        <v>188805045</v>
      </c>
      <c r="V54" s="39">
        <v>188805045</v>
      </c>
      <c r="W54" s="39">
        <v>188805045</v>
      </c>
      <c r="X54" s="39">
        <v>188805045</v>
      </c>
      <c r="Y54" s="23">
        <v>188805045</v>
      </c>
      <c r="Z54" s="39">
        <v>188805045</v>
      </c>
      <c r="AA54" s="39">
        <v>188805045</v>
      </c>
      <c r="AB54" s="39">
        <v>188805045</v>
      </c>
      <c r="AC54" s="39">
        <v>188805045</v>
      </c>
      <c r="AD54" s="4">
        <v>188805045</v>
      </c>
      <c r="AE54" s="4">
        <v>188805045</v>
      </c>
      <c r="AF54" s="4">
        <v>192435197</v>
      </c>
      <c r="AG54" s="4">
        <v>192435197</v>
      </c>
      <c r="AH54" s="4">
        <v>192435197</v>
      </c>
      <c r="AI54" s="4">
        <v>192435197</v>
      </c>
      <c r="AJ54" s="23">
        <v>192435197</v>
      </c>
      <c r="AK54" s="39">
        <v>192435197</v>
      </c>
      <c r="AL54" s="39">
        <v>192435197</v>
      </c>
      <c r="AM54" s="39">
        <v>192435197</v>
      </c>
      <c r="AN54" s="39">
        <v>192435197</v>
      </c>
      <c r="AO54" s="4">
        <v>192435197</v>
      </c>
      <c r="AP54" s="23">
        <v>192435197</v>
      </c>
      <c r="AQ54" s="4">
        <v>192435197</v>
      </c>
      <c r="AR54" s="4">
        <v>192435197</v>
      </c>
      <c r="AS54" s="4">
        <v>192435197</v>
      </c>
      <c r="AT54" s="4">
        <v>192435197</v>
      </c>
      <c r="AU54" s="4">
        <v>192435197</v>
      </c>
      <c r="AV54" s="23">
        <v>192435197</v>
      </c>
      <c r="AW54" s="4">
        <v>192435197</v>
      </c>
      <c r="AX54" s="4">
        <v>192435197</v>
      </c>
      <c r="AY54" s="4">
        <v>192435197</v>
      </c>
      <c r="AZ54" s="4">
        <v>192435197</v>
      </c>
      <c r="BA54" s="4">
        <v>192435197</v>
      </c>
      <c r="BB54" s="23">
        <v>192435197</v>
      </c>
      <c r="BC54" s="4">
        <v>192435197</v>
      </c>
      <c r="BD54" s="4">
        <v>192435197</v>
      </c>
      <c r="BE54" s="4">
        <v>192435197</v>
      </c>
      <c r="BF54" s="4">
        <v>192435197</v>
      </c>
      <c r="BG54" s="4">
        <v>0</v>
      </c>
      <c r="BH54" s="4">
        <v>0</v>
      </c>
      <c r="BI54" s="23">
        <v>0</v>
      </c>
      <c r="BJ54" s="35">
        <v>0</v>
      </c>
      <c r="BK54" s="4">
        <v>0</v>
      </c>
      <c r="BL54" s="35">
        <v>0</v>
      </c>
      <c r="BM54" s="4">
        <v>0</v>
      </c>
      <c r="BN54" s="4">
        <v>0</v>
      </c>
      <c r="BO54" s="4">
        <v>0</v>
      </c>
      <c r="BP54" s="4">
        <v>0</v>
      </c>
      <c r="BQ54" s="35">
        <v>0</v>
      </c>
      <c r="BR54" s="4">
        <v>0</v>
      </c>
      <c r="BS54" s="35">
        <v>0</v>
      </c>
      <c r="BT54" s="4">
        <v>0</v>
      </c>
      <c r="BU54" s="4">
        <v>0</v>
      </c>
      <c r="BV54" s="4">
        <v>0</v>
      </c>
      <c r="BW54" s="4">
        <v>0</v>
      </c>
      <c r="BX54" s="4">
        <v>0</v>
      </c>
      <c r="BY54" s="4">
        <v>0</v>
      </c>
      <c r="BZ54" s="4">
        <v>0</v>
      </c>
      <c r="CA54" s="4">
        <v>0</v>
      </c>
      <c r="CB54" s="4">
        <v>0</v>
      </c>
      <c r="CC54" s="4">
        <v>0</v>
      </c>
      <c r="CD54" s="4">
        <v>0</v>
      </c>
      <c r="CE54" s="4">
        <v>0</v>
      </c>
      <c r="CF54" s="4">
        <v>0</v>
      </c>
      <c r="CG54" s="4">
        <v>0</v>
      </c>
      <c r="CH54" s="4">
        <v>0</v>
      </c>
      <c r="CI54" s="4">
        <v>0</v>
      </c>
      <c r="CJ54" s="35">
        <v>0</v>
      </c>
      <c r="CK54" s="4">
        <v>0</v>
      </c>
      <c r="CL54" s="35">
        <v>0</v>
      </c>
      <c r="CM54" s="4">
        <v>0</v>
      </c>
      <c r="CN54" s="4">
        <v>0</v>
      </c>
      <c r="CO54" s="4">
        <v>0</v>
      </c>
      <c r="CP54" s="4">
        <v>0</v>
      </c>
      <c r="CQ54" s="4">
        <v>0</v>
      </c>
      <c r="CR54" s="4">
        <v>0</v>
      </c>
      <c r="CS54" s="4">
        <v>0</v>
      </c>
    </row>
    <row r="55" spans="1:97" x14ac:dyDescent="0.25">
      <c r="B55" s="2"/>
      <c r="C55" s="23"/>
      <c r="D55" s="4"/>
      <c r="E55" s="4"/>
      <c r="F55" s="4"/>
      <c r="G55" s="4"/>
      <c r="H55" s="4"/>
      <c r="I55" s="4"/>
      <c r="J55" s="4"/>
      <c r="K55" s="4"/>
      <c r="L55" s="23"/>
      <c r="M55" s="4"/>
      <c r="N55" s="4"/>
      <c r="O55" s="23"/>
      <c r="P55" s="4"/>
      <c r="Q55" s="4"/>
      <c r="R55" s="4"/>
      <c r="S55" s="4"/>
      <c r="T55" s="23"/>
      <c r="U55" s="39"/>
      <c r="V55" s="39"/>
      <c r="W55" s="39"/>
      <c r="X55" s="39"/>
      <c r="Y55" s="23"/>
      <c r="Z55" s="39"/>
      <c r="AA55" s="39"/>
      <c r="AB55" s="39"/>
      <c r="AC55" s="39"/>
      <c r="AD55" s="4"/>
      <c r="AE55" s="4"/>
      <c r="AF55" s="4"/>
      <c r="AG55" s="4"/>
      <c r="AH55" s="4"/>
      <c r="AI55" s="4"/>
      <c r="AJ55" s="23"/>
      <c r="AK55" s="39"/>
      <c r="AL55" s="39"/>
      <c r="AM55" s="39"/>
      <c r="AN55" s="39"/>
      <c r="AO55" s="4"/>
      <c r="AP55" s="23"/>
      <c r="AQ55" s="4"/>
      <c r="AR55" s="4"/>
      <c r="AS55" s="4"/>
      <c r="AT55" s="4"/>
      <c r="AU55" s="4"/>
      <c r="AV55" s="23"/>
      <c r="AW55" s="4"/>
      <c r="AX55" s="4"/>
      <c r="AY55" s="4"/>
      <c r="AZ55" s="4"/>
      <c r="BA55" s="4"/>
      <c r="BB55" s="23"/>
      <c r="BC55" s="4"/>
      <c r="BD55" s="4"/>
      <c r="BE55" s="4"/>
      <c r="BF55" s="4"/>
      <c r="BG55" s="4"/>
      <c r="BH55" s="4"/>
      <c r="BI55" s="23"/>
      <c r="BJ55" s="35"/>
      <c r="BK55" s="4"/>
      <c r="BL55" s="35"/>
      <c r="BM55" s="4"/>
      <c r="BN55" s="4"/>
      <c r="BO55" s="4"/>
      <c r="BP55" s="4"/>
      <c r="BQ55" s="35"/>
      <c r="BR55" s="4"/>
      <c r="BS55" s="35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35"/>
      <c r="CK55" s="4"/>
      <c r="CL55" s="35"/>
      <c r="CM55" s="4"/>
      <c r="CN55" s="4"/>
      <c r="CO55" s="4"/>
      <c r="CP55" s="4"/>
      <c r="CQ55" s="4"/>
      <c r="CR55" s="4"/>
      <c r="CS55" s="4"/>
    </row>
    <row r="56" spans="1:97" x14ac:dyDescent="0.25">
      <c r="A56" s="1" t="s">
        <v>58</v>
      </c>
      <c r="B56" s="2"/>
      <c r="C56" s="23"/>
      <c r="D56" s="4"/>
      <c r="E56" s="4"/>
      <c r="F56" s="4"/>
      <c r="G56" s="4"/>
      <c r="H56" s="4"/>
      <c r="I56" s="4"/>
      <c r="J56" s="4"/>
      <c r="K56" s="4"/>
      <c r="L56" s="23"/>
      <c r="M56" s="4"/>
      <c r="N56" s="4"/>
      <c r="O56" s="23"/>
      <c r="P56" s="4"/>
      <c r="Q56" s="4"/>
      <c r="R56" s="4"/>
      <c r="S56" s="4"/>
      <c r="T56" s="23"/>
      <c r="U56" s="39"/>
      <c r="V56" s="39"/>
      <c r="W56" s="39"/>
      <c r="X56" s="39"/>
      <c r="Y56" s="23"/>
      <c r="Z56" s="39"/>
      <c r="AA56" s="39"/>
      <c r="AB56" s="39"/>
      <c r="AC56" s="39"/>
      <c r="AD56" s="4"/>
      <c r="AE56" s="4"/>
      <c r="AF56" s="4"/>
      <c r="AG56" s="4"/>
      <c r="AH56" s="4"/>
      <c r="AI56" s="4"/>
      <c r="AJ56" s="23"/>
      <c r="AK56" s="39"/>
      <c r="AL56" s="39"/>
      <c r="AM56" s="39"/>
      <c r="AN56" s="39"/>
      <c r="AO56" s="4"/>
      <c r="AP56" s="23"/>
      <c r="AQ56" s="4"/>
      <c r="AR56" s="4"/>
      <c r="AS56" s="4"/>
      <c r="AT56" s="4"/>
      <c r="AU56" s="4"/>
      <c r="AV56" s="23"/>
      <c r="AW56" s="4"/>
      <c r="AX56" s="4"/>
      <c r="AY56" s="4"/>
      <c r="AZ56" s="4"/>
      <c r="BA56" s="4"/>
      <c r="BB56" s="23"/>
      <c r="BC56" s="4"/>
      <c r="BD56" s="4"/>
      <c r="BE56" s="4"/>
      <c r="BF56" s="4"/>
      <c r="BG56" s="4"/>
      <c r="BH56" s="4"/>
      <c r="BI56" s="23"/>
      <c r="BJ56" s="35"/>
      <c r="BK56" s="4"/>
      <c r="BL56" s="35"/>
      <c r="BM56" s="4"/>
      <c r="BN56" s="4"/>
      <c r="BO56" s="4"/>
      <c r="BP56" s="4"/>
      <c r="BQ56" s="35"/>
      <c r="BR56" s="4"/>
      <c r="BS56" s="35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35"/>
      <c r="CK56" s="4"/>
      <c r="CL56" s="35"/>
      <c r="CM56" s="4"/>
      <c r="CN56" s="4"/>
      <c r="CO56" s="4"/>
      <c r="CP56" s="4"/>
      <c r="CQ56" s="4"/>
      <c r="CR56" s="4"/>
      <c r="CS56" s="4"/>
    </row>
    <row r="57" spans="1:97" x14ac:dyDescent="0.25">
      <c r="A57" t="s">
        <v>59</v>
      </c>
      <c r="B57" s="2" t="s">
        <v>60</v>
      </c>
      <c r="C57" s="23">
        <v>-9023167.8040542006</v>
      </c>
      <c r="D57" s="4">
        <v>-9023167.8040542006</v>
      </c>
      <c r="E57" s="4">
        <v>-9023167.8040542006</v>
      </c>
      <c r="F57" s="4">
        <v>-9023167.8040542006</v>
      </c>
      <c r="G57" s="4">
        <v>-9023167.8040542006</v>
      </c>
      <c r="H57" s="4">
        <v>-9023167.8040542006</v>
      </c>
      <c r="I57" s="4">
        <v>-9023167.8040542006</v>
      </c>
      <c r="J57" s="4">
        <v>-9023167.8040542006</v>
      </c>
      <c r="K57" s="4">
        <v>-9023167.8040542006</v>
      </c>
      <c r="L57" s="23">
        <v>-9023167.8040542006</v>
      </c>
      <c r="M57" s="4">
        <v>-9023167.8040542006</v>
      </c>
      <c r="N57" s="4">
        <v>-9023167.8040542006</v>
      </c>
      <c r="O57" s="23">
        <v>-9023167.8040542006</v>
      </c>
      <c r="P57" s="4">
        <v>-9023167.8040542006</v>
      </c>
      <c r="Q57" s="4">
        <v>-31909171.196331073</v>
      </c>
      <c r="R57" s="4">
        <v>-31909171.196331073</v>
      </c>
      <c r="S57" s="4">
        <v>-31909171.196331073</v>
      </c>
      <c r="T57" s="23">
        <v>-31909171.196331073</v>
      </c>
      <c r="U57" s="39">
        <v>-31909171.196331073</v>
      </c>
      <c r="V57" s="39">
        <v>-31909171.196331073</v>
      </c>
      <c r="W57" s="39">
        <v>-31909171.196331073</v>
      </c>
      <c r="X57" s="39">
        <v>-31909171.196331073</v>
      </c>
      <c r="Y57" s="23">
        <v>-31909171.196331073</v>
      </c>
      <c r="Z57" s="39">
        <v>-31909171.196331073</v>
      </c>
      <c r="AA57" s="39">
        <v>-31909171.196331073</v>
      </c>
      <c r="AB57" s="39">
        <v>-31909171.196331073</v>
      </c>
      <c r="AC57" s="39">
        <v>-31909171.196331073</v>
      </c>
      <c r="AD57" s="4">
        <v>-31909171.196331073</v>
      </c>
      <c r="AE57" s="4">
        <v>-31909171.196331073</v>
      </c>
      <c r="AF57" s="4">
        <v>-16503899.326841742</v>
      </c>
      <c r="AG57" s="4">
        <v>-16503899.326841742</v>
      </c>
      <c r="AH57" s="4">
        <v>-16503899.326841742</v>
      </c>
      <c r="AI57" s="4">
        <v>-16503899.326841742</v>
      </c>
      <c r="AJ57" s="23">
        <v>-16503899.326841742</v>
      </c>
      <c r="AK57" s="39">
        <v>-16503899.326841742</v>
      </c>
      <c r="AL57" s="39">
        <v>-16503899.326841742</v>
      </c>
      <c r="AM57" s="39">
        <v>-16503899.326841742</v>
      </c>
      <c r="AN57" s="39">
        <v>-16503899.326841742</v>
      </c>
      <c r="AO57" s="4">
        <v>-16503899.326841742</v>
      </c>
      <c r="AP57" s="23">
        <v>-16503899.326841742</v>
      </c>
      <c r="AQ57" s="4">
        <v>-16503899.326841742</v>
      </c>
      <c r="AR57" s="4">
        <v>-16503899.326841742</v>
      </c>
      <c r="AS57" s="4">
        <v>-16503899.326841742</v>
      </c>
      <c r="AT57" s="4">
        <v>-16503899.326841742</v>
      </c>
      <c r="AU57" s="4">
        <v>-16503899.326841742</v>
      </c>
      <c r="AV57" s="23">
        <v>-16503899.326841742</v>
      </c>
      <c r="AW57" s="4">
        <v>-16503899.326841742</v>
      </c>
      <c r="AX57" s="4">
        <v>-16503899.326841742</v>
      </c>
      <c r="AY57" s="4">
        <v>-16503899.326841742</v>
      </c>
      <c r="AZ57" s="4">
        <v>-16503899.326841742</v>
      </c>
      <c r="BA57" s="4">
        <v>-16503899.326841742</v>
      </c>
      <c r="BB57" s="23">
        <v>-16503899.326841742</v>
      </c>
      <c r="BC57" s="4">
        <v>-16503899.326841742</v>
      </c>
      <c r="BD57" s="4">
        <v>-16503899.326841742</v>
      </c>
      <c r="BE57" s="4">
        <v>-16503899.326841742</v>
      </c>
      <c r="BF57" s="4">
        <v>-16503899.326841742</v>
      </c>
      <c r="BG57" s="4">
        <v>14607625.961963672</v>
      </c>
      <c r="BH57" s="4">
        <v>14607625.961963672</v>
      </c>
      <c r="BI57" s="23">
        <v>14607625.961963672</v>
      </c>
      <c r="BJ57" s="35">
        <v>14607625.961963672</v>
      </c>
      <c r="BK57" s="4">
        <v>14607625.961963672</v>
      </c>
      <c r="BL57" s="35">
        <v>14607625.961963672</v>
      </c>
      <c r="BM57" s="4">
        <v>14607625.961963672</v>
      </c>
      <c r="BN57" s="4">
        <v>14607625.961963672</v>
      </c>
      <c r="BO57" s="4">
        <v>14607625.961963672</v>
      </c>
      <c r="BP57" s="4">
        <v>14607625.961963672</v>
      </c>
      <c r="BQ57" s="35">
        <v>14607625.961963672</v>
      </c>
      <c r="BR57" s="4">
        <v>14607625.961963672</v>
      </c>
      <c r="BS57" s="35">
        <v>14607625.961963672</v>
      </c>
      <c r="BT57" s="4">
        <v>14607625.961963672</v>
      </c>
      <c r="BU57" s="4">
        <v>14607625.961963672</v>
      </c>
      <c r="BV57" s="4">
        <v>14607625.961963672</v>
      </c>
      <c r="BW57" s="4">
        <v>14607625.961963672</v>
      </c>
      <c r="BX57" s="4">
        <v>14607625.961963672</v>
      </c>
      <c r="BY57" s="4">
        <v>14607625.961963672</v>
      </c>
      <c r="BZ57" s="4">
        <v>14607625.961963672</v>
      </c>
      <c r="CA57" s="4">
        <v>14607625.961963672</v>
      </c>
      <c r="CB57" s="4">
        <v>14607625.961963672</v>
      </c>
      <c r="CC57" s="4">
        <v>14607625.961963672</v>
      </c>
      <c r="CD57" s="4">
        <v>14607625.961963672</v>
      </c>
      <c r="CE57" s="4">
        <v>14607625.961963672</v>
      </c>
      <c r="CF57" s="4">
        <v>14607625.961963672</v>
      </c>
      <c r="CG57" s="4">
        <v>14607625.961963672</v>
      </c>
      <c r="CH57" s="4">
        <v>14607625.961963672</v>
      </c>
      <c r="CI57" s="4">
        <v>14607625.961963672</v>
      </c>
      <c r="CJ57" s="35">
        <v>14607625.961963672</v>
      </c>
      <c r="CK57" s="4">
        <v>14607625.961963672</v>
      </c>
      <c r="CL57" s="35">
        <v>14607625.961963672</v>
      </c>
      <c r="CM57" s="4">
        <v>14607625.961963672</v>
      </c>
      <c r="CN57" s="4">
        <v>14607625.961963672</v>
      </c>
      <c r="CO57" s="4">
        <v>14607625.961963672</v>
      </c>
      <c r="CP57" s="4">
        <v>14607625.961963672</v>
      </c>
      <c r="CQ57" s="4">
        <v>14607625.961963672</v>
      </c>
      <c r="CR57" s="4">
        <v>14607625.961963672</v>
      </c>
      <c r="CS57" s="4">
        <v>14607625.961963672</v>
      </c>
    </row>
    <row r="58" spans="1:97" x14ac:dyDescent="0.25">
      <c r="A58" t="s">
        <v>61</v>
      </c>
      <c r="B58" s="2" t="s">
        <v>62</v>
      </c>
      <c r="C58" s="23">
        <v>133895539.97060968</v>
      </c>
      <c r="D58" s="4">
        <v>133895539.97060968</v>
      </c>
      <c r="E58" s="4">
        <v>133895539.97060968</v>
      </c>
      <c r="F58" s="4">
        <v>133895539.97060968</v>
      </c>
      <c r="G58" s="4">
        <v>133895539.97060968</v>
      </c>
      <c r="H58" s="4">
        <v>133895539.97060968</v>
      </c>
      <c r="I58" s="4">
        <v>133895539.97060968</v>
      </c>
      <c r="J58" s="4">
        <v>133895539.97060968</v>
      </c>
      <c r="K58" s="4">
        <v>133895539.97060968</v>
      </c>
      <c r="L58" s="23">
        <v>133895539.97060968</v>
      </c>
      <c r="M58" s="4">
        <v>133895539.97060968</v>
      </c>
      <c r="N58" s="4">
        <v>133895539.97060968</v>
      </c>
      <c r="O58" s="23">
        <v>133895539.97060968</v>
      </c>
      <c r="P58" s="4">
        <v>133895539.97060968</v>
      </c>
      <c r="Q58" s="4">
        <v>-65005587.72275199</v>
      </c>
      <c r="R58" s="4">
        <v>-65005587.72275199</v>
      </c>
      <c r="S58" s="4">
        <v>-65005587.72275199</v>
      </c>
      <c r="T58" s="23">
        <v>-65005587.72275199</v>
      </c>
      <c r="U58" s="39">
        <v>-65005587.72275199</v>
      </c>
      <c r="V58" s="39">
        <v>-65005587.72275199</v>
      </c>
      <c r="W58" s="39">
        <v>-65005587.72275199</v>
      </c>
      <c r="X58" s="39">
        <v>-65005587.72275199</v>
      </c>
      <c r="Y58" s="23">
        <v>-65005587.72275199</v>
      </c>
      <c r="Z58" s="39">
        <v>-65005587.72275199</v>
      </c>
      <c r="AA58" s="39">
        <v>-65005587.72275199</v>
      </c>
      <c r="AB58" s="39">
        <v>-65005587.72275199</v>
      </c>
      <c r="AC58" s="39">
        <v>-65005587.72275199</v>
      </c>
      <c r="AD58" s="4">
        <v>-65005587.72275199</v>
      </c>
      <c r="AE58" s="4">
        <v>-65005587.72275199</v>
      </c>
      <c r="AF58" s="4">
        <v>12127091.138993993</v>
      </c>
      <c r="AG58" s="4">
        <v>12127091.138993993</v>
      </c>
      <c r="AH58" s="4">
        <v>12127091.138993993</v>
      </c>
      <c r="AI58" s="4">
        <v>12127091.138993993</v>
      </c>
      <c r="AJ58" s="23">
        <v>12127091.138993993</v>
      </c>
      <c r="AK58" s="39">
        <v>12127091.138993993</v>
      </c>
      <c r="AL58" s="39">
        <v>12127091.138993993</v>
      </c>
      <c r="AM58" s="39">
        <v>12127091.138993993</v>
      </c>
      <c r="AN58" s="39">
        <v>12127091.138993993</v>
      </c>
      <c r="AO58" s="4">
        <v>12127091.138993993</v>
      </c>
      <c r="AP58" s="23">
        <v>12127091.138993993</v>
      </c>
      <c r="AQ58" s="4">
        <v>12127091.138993993</v>
      </c>
      <c r="AR58" s="4">
        <v>12127091.138993993</v>
      </c>
      <c r="AS58" s="4">
        <v>12127091.138993993</v>
      </c>
      <c r="AT58" s="4">
        <v>12127091.138993993</v>
      </c>
      <c r="AU58" s="4">
        <v>12127091.138993993</v>
      </c>
      <c r="AV58" s="23">
        <v>12127091.138993993</v>
      </c>
      <c r="AW58" s="4">
        <v>12127091.138993993</v>
      </c>
      <c r="AX58" s="4">
        <v>12127091.138993993</v>
      </c>
      <c r="AY58" s="4">
        <v>12127091.138993993</v>
      </c>
      <c r="AZ58" s="4">
        <v>12127091.138993993</v>
      </c>
      <c r="BA58" s="4">
        <v>12127091.138993993</v>
      </c>
      <c r="BB58" s="23">
        <v>12127091.138993993</v>
      </c>
      <c r="BC58" s="4">
        <v>12127091.138993993</v>
      </c>
      <c r="BD58" s="4">
        <v>12127091.138993993</v>
      </c>
      <c r="BE58" s="4">
        <v>12127091.138993993</v>
      </c>
      <c r="BF58" s="4">
        <v>12127091.138993993</v>
      </c>
      <c r="BG58" s="4">
        <v>-56998184.622148544</v>
      </c>
      <c r="BH58" s="4">
        <v>-56998184.622148544</v>
      </c>
      <c r="BI58" s="23">
        <v>-56998184.622148544</v>
      </c>
      <c r="BJ58" s="35">
        <v>-56998184.622148544</v>
      </c>
      <c r="BK58" s="4">
        <v>-56998184.622148544</v>
      </c>
      <c r="BL58" s="35">
        <v>-56998184.622148544</v>
      </c>
      <c r="BM58" s="4">
        <v>-56998184.622148544</v>
      </c>
      <c r="BN58" s="4">
        <v>-56998184.622148544</v>
      </c>
      <c r="BO58" s="4">
        <v>-56998184.622148544</v>
      </c>
      <c r="BP58" s="4">
        <v>-56998184.622148544</v>
      </c>
      <c r="BQ58" s="35">
        <v>-56998184.622148544</v>
      </c>
      <c r="BR58" s="4">
        <v>-56998184.622148544</v>
      </c>
      <c r="BS58" s="35">
        <v>-56998184.622148544</v>
      </c>
      <c r="BT58" s="4">
        <v>-56998184.622148544</v>
      </c>
      <c r="BU58" s="4">
        <v>-56998184.622148544</v>
      </c>
      <c r="BV58" s="4">
        <v>-56998184.622148544</v>
      </c>
      <c r="BW58" s="4">
        <v>-56998184.622148544</v>
      </c>
      <c r="BX58" s="4">
        <v>-56998184.622148544</v>
      </c>
      <c r="BY58" s="4">
        <v>-56998184.622148544</v>
      </c>
      <c r="BZ58" s="4">
        <v>-56998184.622148544</v>
      </c>
      <c r="CA58" s="4">
        <v>-56998184.622148544</v>
      </c>
      <c r="CB58" s="4">
        <v>-56998184.622148544</v>
      </c>
      <c r="CC58" s="4">
        <v>-56998184.622148544</v>
      </c>
      <c r="CD58" s="4">
        <v>-56998184.622148544</v>
      </c>
      <c r="CE58" s="4">
        <v>-56998184.622148544</v>
      </c>
      <c r="CF58" s="4">
        <v>-56998184.622148544</v>
      </c>
      <c r="CG58" s="4">
        <v>-56998184.622148544</v>
      </c>
      <c r="CH58" s="4">
        <v>-56998184.622148544</v>
      </c>
      <c r="CI58" s="4">
        <v>-56998184.622148544</v>
      </c>
      <c r="CJ58" s="35">
        <v>-56998184.622148544</v>
      </c>
      <c r="CK58" s="4">
        <v>-56998184.622148544</v>
      </c>
      <c r="CL58" s="35">
        <v>-56998184.622148544</v>
      </c>
      <c r="CM58" s="4">
        <v>-56998184.622148544</v>
      </c>
      <c r="CN58" s="4">
        <v>-56998184.622148544</v>
      </c>
      <c r="CO58" s="4">
        <v>-56998184.622148544</v>
      </c>
      <c r="CP58" s="4">
        <v>-56998184.622148544</v>
      </c>
      <c r="CQ58" s="4">
        <v>-56998184.622148544</v>
      </c>
      <c r="CR58" s="4">
        <v>-56998184.622148544</v>
      </c>
      <c r="CS58" s="4">
        <v>-56998184.622148544</v>
      </c>
    </row>
    <row r="59" spans="1:97" x14ac:dyDescent="0.25">
      <c r="A59" t="s">
        <v>63</v>
      </c>
      <c r="B59" s="2" t="s">
        <v>64</v>
      </c>
      <c r="C59" s="23">
        <v>-53183796.824596509</v>
      </c>
      <c r="D59" s="4">
        <v>-53183796.824596509</v>
      </c>
      <c r="E59" s="4">
        <v>-53183796.824596509</v>
      </c>
      <c r="F59" s="4">
        <v>-53183796.824596509</v>
      </c>
      <c r="G59" s="4">
        <v>-53183796.824596509</v>
      </c>
      <c r="H59" s="4">
        <v>-53183796.824596509</v>
      </c>
      <c r="I59" s="4">
        <v>-53183796.824596509</v>
      </c>
      <c r="J59" s="4">
        <v>-53183796.824596509</v>
      </c>
      <c r="K59" s="4">
        <v>-53183796.824596509</v>
      </c>
      <c r="L59" s="23">
        <v>-53183796.824596509</v>
      </c>
      <c r="M59" s="4">
        <v>-53183796.824596509</v>
      </c>
      <c r="N59" s="4">
        <v>-53183796.824596509</v>
      </c>
      <c r="O59" s="23">
        <v>-53183796.824596509</v>
      </c>
      <c r="P59" s="4">
        <v>-53183796.824596509</v>
      </c>
      <c r="Q59" s="4">
        <v>165053414.26185814</v>
      </c>
      <c r="R59" s="4">
        <v>165053414.26185814</v>
      </c>
      <c r="S59" s="4">
        <v>165053414.26185814</v>
      </c>
      <c r="T59" s="23">
        <v>165053414.26185814</v>
      </c>
      <c r="U59" s="39">
        <v>165053414.26185814</v>
      </c>
      <c r="V59" s="39">
        <v>165053414.26185814</v>
      </c>
      <c r="W59" s="39">
        <v>165053414.26185814</v>
      </c>
      <c r="X59" s="39">
        <v>165053414.26185814</v>
      </c>
      <c r="Y59" s="23">
        <v>165053414.26185814</v>
      </c>
      <c r="Z59" s="39">
        <v>165053414.26185814</v>
      </c>
      <c r="AA59" s="39">
        <v>165053414.26185814</v>
      </c>
      <c r="AB59" s="39">
        <v>165053414.26185814</v>
      </c>
      <c r="AC59" s="39">
        <v>165053414.26185814</v>
      </c>
      <c r="AD59" s="4">
        <v>165053414.26185814</v>
      </c>
      <c r="AE59" s="4">
        <v>165053414.26185814</v>
      </c>
      <c r="AF59" s="4">
        <v>-68419124.448496327</v>
      </c>
      <c r="AG59" s="4">
        <v>-68419124.448496327</v>
      </c>
      <c r="AH59" s="4">
        <v>-68419124.448496327</v>
      </c>
      <c r="AI59" s="4">
        <v>-68419124.448496327</v>
      </c>
      <c r="AJ59" s="23">
        <v>-68419124.448496327</v>
      </c>
      <c r="AK59" s="39">
        <v>-68419124.448496327</v>
      </c>
      <c r="AL59" s="39">
        <v>-68419124.448496327</v>
      </c>
      <c r="AM59" s="39">
        <v>-68419124.448496327</v>
      </c>
      <c r="AN59" s="39">
        <v>-68419124.448496327</v>
      </c>
      <c r="AO59" s="4">
        <v>-68419124.448496327</v>
      </c>
      <c r="AP59" s="23">
        <v>-68419124.448496327</v>
      </c>
      <c r="AQ59" s="4">
        <v>-68419124.448496327</v>
      </c>
      <c r="AR59" s="4">
        <v>-68419124.448496327</v>
      </c>
      <c r="AS59" s="4">
        <v>-68419124.448496327</v>
      </c>
      <c r="AT59" s="4">
        <v>-68419124.448496327</v>
      </c>
      <c r="AU59" s="4">
        <v>-68419124.448496327</v>
      </c>
      <c r="AV59" s="23">
        <v>-68419124.448496327</v>
      </c>
      <c r="AW59" s="4">
        <v>-68419124.448496327</v>
      </c>
      <c r="AX59" s="4">
        <v>-68419124.448496327</v>
      </c>
      <c r="AY59" s="4">
        <v>-68419124.448496327</v>
      </c>
      <c r="AZ59" s="4">
        <v>-68419124.448496327</v>
      </c>
      <c r="BA59" s="4">
        <v>-68419124.448496327</v>
      </c>
      <c r="BB59" s="23">
        <v>-68419124.448496327</v>
      </c>
      <c r="BC59" s="4">
        <v>-68419124.448496327</v>
      </c>
      <c r="BD59" s="4">
        <v>-68419124.448496327</v>
      </c>
      <c r="BE59" s="4">
        <v>-68419124.448496327</v>
      </c>
      <c r="BF59" s="4">
        <v>-68419124.448496327</v>
      </c>
      <c r="BG59" s="4">
        <v>-12411315.263700329</v>
      </c>
      <c r="BH59" s="4">
        <v>-12411315.263700329</v>
      </c>
      <c r="BI59" s="23">
        <v>-12411315.263700329</v>
      </c>
      <c r="BJ59" s="35">
        <v>-12411315.263700329</v>
      </c>
      <c r="BK59" s="4">
        <v>-12411315.263700329</v>
      </c>
      <c r="BL59" s="35">
        <v>-12411315.263700329</v>
      </c>
      <c r="BM59" s="4">
        <v>-12411315.263700329</v>
      </c>
      <c r="BN59" s="4">
        <v>-12411315.263700329</v>
      </c>
      <c r="BO59" s="4">
        <v>-12411315.263700329</v>
      </c>
      <c r="BP59" s="4">
        <v>-12411315.263700329</v>
      </c>
      <c r="BQ59" s="35">
        <v>-12411315.263700329</v>
      </c>
      <c r="BR59" s="4">
        <v>-12411315.263700329</v>
      </c>
      <c r="BS59" s="35">
        <v>-12411315.263700329</v>
      </c>
      <c r="BT59" s="4">
        <v>-12411315.263700329</v>
      </c>
      <c r="BU59" s="4">
        <v>-12411315.263700329</v>
      </c>
      <c r="BV59" s="4">
        <v>-12411315.263700329</v>
      </c>
      <c r="BW59" s="4">
        <v>-12411315.263700329</v>
      </c>
      <c r="BX59" s="4">
        <v>-12411315.263700329</v>
      </c>
      <c r="BY59" s="4">
        <v>-12411315.263700329</v>
      </c>
      <c r="BZ59" s="4">
        <v>-12411315.263700329</v>
      </c>
      <c r="CA59" s="4">
        <v>-12411315.263700329</v>
      </c>
      <c r="CB59" s="4">
        <v>-12411315.263700329</v>
      </c>
      <c r="CC59" s="4">
        <v>-12411315.263700329</v>
      </c>
      <c r="CD59" s="4">
        <v>-12411315.263700329</v>
      </c>
      <c r="CE59" s="4">
        <v>-12411315.263700329</v>
      </c>
      <c r="CF59" s="4">
        <v>-12411315.263700329</v>
      </c>
      <c r="CG59" s="4">
        <v>-12411315.263700329</v>
      </c>
      <c r="CH59" s="4">
        <v>-12411315.263700329</v>
      </c>
      <c r="CI59" s="4">
        <v>-12411315.263700329</v>
      </c>
      <c r="CJ59" s="35">
        <v>-12411315.263700329</v>
      </c>
      <c r="CK59" s="4">
        <v>-12411315.263700329</v>
      </c>
      <c r="CL59" s="35">
        <v>-12411315.263700329</v>
      </c>
      <c r="CM59" s="4">
        <v>-12411315.263700329</v>
      </c>
      <c r="CN59" s="4">
        <v>-12411315.263700329</v>
      </c>
      <c r="CO59" s="4">
        <v>-12411315.263700329</v>
      </c>
      <c r="CP59" s="4">
        <v>-12411315.263700329</v>
      </c>
      <c r="CQ59" s="4">
        <v>-12411315.263700329</v>
      </c>
      <c r="CR59" s="4">
        <v>-12411315.263700329</v>
      </c>
      <c r="CS59" s="4">
        <v>-12411315.263700329</v>
      </c>
    </row>
    <row r="60" spans="1:97" x14ac:dyDescent="0.25">
      <c r="A60" t="s">
        <v>65</v>
      </c>
      <c r="B60" s="2" t="s">
        <v>66</v>
      </c>
      <c r="C60" s="23">
        <v>82130078.034444422</v>
      </c>
      <c r="D60" s="4">
        <v>82130078.034444422</v>
      </c>
      <c r="E60" s="4">
        <v>82130078.034444422</v>
      </c>
      <c r="F60" s="4">
        <v>82130078.034444422</v>
      </c>
      <c r="G60" s="4">
        <v>82130078.034444422</v>
      </c>
      <c r="H60" s="4">
        <v>82130078.034444422</v>
      </c>
      <c r="I60" s="4">
        <v>82130078.034444422</v>
      </c>
      <c r="J60" s="4">
        <v>82130078.034444422</v>
      </c>
      <c r="K60" s="4">
        <v>82130078.034444422</v>
      </c>
      <c r="L60" s="23">
        <v>82130078.034444422</v>
      </c>
      <c r="M60" s="4">
        <v>82130078.034444422</v>
      </c>
      <c r="N60" s="4">
        <v>82130078.034444422</v>
      </c>
      <c r="O60" s="23">
        <v>82130078.034444422</v>
      </c>
      <c r="P60" s="4">
        <v>82130078.034444422</v>
      </c>
      <c r="Q60" s="4">
        <v>-79183354.97149387</v>
      </c>
      <c r="R60" s="4">
        <v>-79183354.97149387</v>
      </c>
      <c r="S60" s="4">
        <v>-79183354.97149387</v>
      </c>
      <c r="T60" s="23">
        <v>-79183354.97149387</v>
      </c>
      <c r="U60" s="39">
        <v>-79183354.97149387</v>
      </c>
      <c r="V60" s="39">
        <v>-79183354.97149387</v>
      </c>
      <c r="W60" s="39">
        <v>-79183354.97149387</v>
      </c>
      <c r="X60" s="39">
        <v>-79183354.97149387</v>
      </c>
      <c r="Y60" s="23">
        <v>-79183354.97149387</v>
      </c>
      <c r="Z60" s="39">
        <v>-79183354.97149387</v>
      </c>
      <c r="AA60" s="39">
        <v>-79183354.97149387</v>
      </c>
      <c r="AB60" s="39">
        <v>-79183354.97149387</v>
      </c>
      <c r="AC60" s="39">
        <v>-79183354.97149387</v>
      </c>
      <c r="AD60" s="4">
        <v>-79183354.97149387</v>
      </c>
      <c r="AE60" s="4">
        <v>-79183354.97149387</v>
      </c>
      <c r="AF60" s="4">
        <v>-140973546.43689385</v>
      </c>
      <c r="AG60" s="4">
        <v>-140973546.43689385</v>
      </c>
      <c r="AH60" s="4">
        <v>-140973546.43689385</v>
      </c>
      <c r="AI60" s="4">
        <v>-140973546.43689385</v>
      </c>
      <c r="AJ60" s="23">
        <v>-140973546.43689385</v>
      </c>
      <c r="AK60" s="39">
        <v>-140973546.43689385</v>
      </c>
      <c r="AL60" s="39">
        <v>-140973546.43689385</v>
      </c>
      <c r="AM60" s="39">
        <v>-140973546.43689385</v>
      </c>
      <c r="AN60" s="39">
        <v>-140973546.43689385</v>
      </c>
      <c r="AO60" s="4">
        <v>-140973546.43689385</v>
      </c>
      <c r="AP60" s="23">
        <v>-140973546.43689385</v>
      </c>
      <c r="AQ60" s="4">
        <v>-140973546.43689385</v>
      </c>
      <c r="AR60" s="4">
        <v>-140973546.43689385</v>
      </c>
      <c r="AS60" s="4">
        <v>-140973546.43689385</v>
      </c>
      <c r="AT60" s="4">
        <v>-140973546.43689385</v>
      </c>
      <c r="AU60" s="4">
        <v>-140973546.43689385</v>
      </c>
      <c r="AV60" s="23">
        <v>-140973546.43689385</v>
      </c>
      <c r="AW60" s="4">
        <v>-140973546.43689385</v>
      </c>
      <c r="AX60" s="4">
        <v>-140973546.43689385</v>
      </c>
      <c r="AY60" s="4">
        <v>-140973546.43689385</v>
      </c>
      <c r="AZ60" s="4">
        <v>-140973546.43689385</v>
      </c>
      <c r="BA60" s="4">
        <v>-140973546.43689385</v>
      </c>
      <c r="BB60" s="23">
        <v>-140973546.43689385</v>
      </c>
      <c r="BC60" s="4">
        <v>-140973546.43689385</v>
      </c>
      <c r="BD60" s="4">
        <v>-140973546.43689385</v>
      </c>
      <c r="BE60" s="4">
        <v>-140973546.43689385</v>
      </c>
      <c r="BF60" s="4">
        <v>-140973546.43689385</v>
      </c>
      <c r="BG60" s="4">
        <v>-31858237.040945649</v>
      </c>
      <c r="BH60" s="4">
        <v>-31858237.040945649</v>
      </c>
      <c r="BI60" s="23">
        <v>-31858237.040945649</v>
      </c>
      <c r="BJ60" s="35">
        <v>-31858237.040945649</v>
      </c>
      <c r="BK60" s="4">
        <v>-31858237.040945649</v>
      </c>
      <c r="BL60" s="35">
        <v>-31858237.040945649</v>
      </c>
      <c r="BM60" s="4">
        <v>-31858237.040945649</v>
      </c>
      <c r="BN60" s="4">
        <v>-31858237.040945649</v>
      </c>
      <c r="BO60" s="4">
        <v>-31858237.040945649</v>
      </c>
      <c r="BP60" s="4">
        <v>-31858237.040945649</v>
      </c>
      <c r="BQ60" s="35">
        <v>-31858237.040945649</v>
      </c>
      <c r="BR60" s="4">
        <v>-31858237.040945649</v>
      </c>
      <c r="BS60" s="35">
        <v>-31858237.040945649</v>
      </c>
      <c r="BT60" s="4">
        <v>-31858237.040945649</v>
      </c>
      <c r="BU60" s="4">
        <v>-31858237.040945649</v>
      </c>
      <c r="BV60" s="4">
        <v>-31858237.040945649</v>
      </c>
      <c r="BW60" s="4">
        <v>-31858237.040945649</v>
      </c>
      <c r="BX60" s="4">
        <v>-31858237.040945649</v>
      </c>
      <c r="BY60" s="4">
        <v>-31858237.040945649</v>
      </c>
      <c r="BZ60" s="4">
        <v>-31858237.040945649</v>
      </c>
      <c r="CA60" s="4">
        <v>-31858237.040945649</v>
      </c>
      <c r="CB60" s="4">
        <v>-31858237.040945649</v>
      </c>
      <c r="CC60" s="4">
        <v>-31858237.040945649</v>
      </c>
      <c r="CD60" s="4">
        <v>-31858237.040945649</v>
      </c>
      <c r="CE60" s="4">
        <v>-31858237.040945649</v>
      </c>
      <c r="CF60" s="4">
        <v>-31858237.040945649</v>
      </c>
      <c r="CG60" s="4">
        <v>-31858237.040945649</v>
      </c>
      <c r="CH60" s="4">
        <v>-31858237.040945649</v>
      </c>
      <c r="CI60" s="4">
        <v>-31858237.040945649</v>
      </c>
      <c r="CJ60" s="35">
        <v>-31858237.040945649</v>
      </c>
      <c r="CK60" s="4">
        <v>-31858237.040945649</v>
      </c>
      <c r="CL60" s="35">
        <v>-31858237.040945649</v>
      </c>
      <c r="CM60" s="4">
        <v>-31858237.040945649</v>
      </c>
      <c r="CN60" s="4">
        <v>-31858237.040945649</v>
      </c>
      <c r="CO60" s="4">
        <v>-31858237.040945649</v>
      </c>
      <c r="CP60" s="4">
        <v>-31858237.040945649</v>
      </c>
      <c r="CQ60" s="4">
        <v>-31858237.040945649</v>
      </c>
      <c r="CR60" s="4">
        <v>-31858237.040945649</v>
      </c>
      <c r="CS60" s="4">
        <v>-31858237.040945649</v>
      </c>
    </row>
    <row r="61" spans="1:97" x14ac:dyDescent="0.25">
      <c r="A61" t="s">
        <v>67</v>
      </c>
      <c r="B61" s="2" t="s">
        <v>68</v>
      </c>
      <c r="C61" s="23">
        <v>-475378792.95528853</v>
      </c>
      <c r="D61" s="4">
        <v>-475378792.95528853</v>
      </c>
      <c r="E61" s="4">
        <v>-475378792.95528853</v>
      </c>
      <c r="F61" s="4">
        <v>-475378792.95528853</v>
      </c>
      <c r="G61" s="4">
        <v>-475378792.95528853</v>
      </c>
      <c r="H61" s="4">
        <v>-475378792.95528853</v>
      </c>
      <c r="I61" s="4">
        <v>-475378792.95528853</v>
      </c>
      <c r="J61" s="4">
        <v>-475378792.95528853</v>
      </c>
      <c r="K61" s="4">
        <v>-475378792.95528853</v>
      </c>
      <c r="L61" s="23">
        <v>-475378792.95528853</v>
      </c>
      <c r="M61" s="4">
        <v>-475378792.95528853</v>
      </c>
      <c r="N61" s="4">
        <v>-475378792.95528853</v>
      </c>
      <c r="O61" s="23">
        <v>-475378792.95528853</v>
      </c>
      <c r="P61" s="4">
        <v>-475378792.95528853</v>
      </c>
      <c r="Q61" s="4">
        <v>-414956410.50126833</v>
      </c>
      <c r="R61" s="4">
        <v>-414956410.50126833</v>
      </c>
      <c r="S61" s="4">
        <v>-414956410.50126833</v>
      </c>
      <c r="T61" s="23">
        <v>-414956410.50126833</v>
      </c>
      <c r="U61" s="39">
        <v>-414956410.50126833</v>
      </c>
      <c r="V61" s="39">
        <v>-414956410.50126833</v>
      </c>
      <c r="W61" s="39">
        <v>-414956410.50126833</v>
      </c>
      <c r="X61" s="39">
        <v>-414956410.50126833</v>
      </c>
      <c r="Y61" s="23">
        <v>-414956410.50126833</v>
      </c>
      <c r="Z61" s="39">
        <v>-414956410.50126833</v>
      </c>
      <c r="AA61" s="39">
        <v>-414956410.50126833</v>
      </c>
      <c r="AB61" s="39">
        <v>-414956410.50126833</v>
      </c>
      <c r="AC61" s="39">
        <v>-414956410.50126833</v>
      </c>
      <c r="AD61" s="4">
        <v>-414956410.50126833</v>
      </c>
      <c r="AE61" s="4">
        <v>-414956410.50126833</v>
      </c>
      <c r="AF61" s="4">
        <v>-293740413.59227705</v>
      </c>
      <c r="AG61" s="4">
        <v>-293740413.59227705</v>
      </c>
      <c r="AH61" s="4">
        <v>-293740413.59227705</v>
      </c>
      <c r="AI61" s="4">
        <v>-293740413.59227705</v>
      </c>
      <c r="AJ61" s="23">
        <v>-293740413.59227705</v>
      </c>
      <c r="AK61" s="39">
        <v>-293740413.59227705</v>
      </c>
      <c r="AL61" s="39">
        <v>-293740413.59227705</v>
      </c>
      <c r="AM61" s="39">
        <v>-293740413.59227705</v>
      </c>
      <c r="AN61" s="39">
        <v>-293740413.59227705</v>
      </c>
      <c r="AO61" s="4">
        <v>-293740413.59227705</v>
      </c>
      <c r="AP61" s="23">
        <v>-293740413.59227705</v>
      </c>
      <c r="AQ61" s="4">
        <v>-293740413.59227705</v>
      </c>
      <c r="AR61" s="4">
        <v>-293740413.59227705</v>
      </c>
      <c r="AS61" s="4">
        <v>-293740413.59227705</v>
      </c>
      <c r="AT61" s="4">
        <v>-293740413.59227705</v>
      </c>
      <c r="AU61" s="4">
        <v>-293740413.59227705</v>
      </c>
      <c r="AV61" s="23">
        <v>-293740413.59227705</v>
      </c>
      <c r="AW61" s="4">
        <v>-293740413.59227705</v>
      </c>
      <c r="AX61" s="4">
        <v>-293740413.59227705</v>
      </c>
      <c r="AY61" s="4">
        <v>-293740413.59227705</v>
      </c>
      <c r="AZ61" s="4">
        <v>-293740413.59227705</v>
      </c>
      <c r="BA61" s="4">
        <v>-293740413.59227705</v>
      </c>
      <c r="BB61" s="23">
        <v>-293740413.59227705</v>
      </c>
      <c r="BC61" s="4">
        <v>-293740413.59227705</v>
      </c>
      <c r="BD61" s="4">
        <v>-293740413.59227705</v>
      </c>
      <c r="BE61" s="4">
        <v>-293740413.59227705</v>
      </c>
      <c r="BF61" s="4">
        <v>-293740413.59227705</v>
      </c>
      <c r="BG61" s="4">
        <v>-401138135.12705117</v>
      </c>
      <c r="BH61" s="4">
        <v>-401138135.12705117</v>
      </c>
      <c r="BI61" s="23">
        <v>-401138135.12705117</v>
      </c>
      <c r="BJ61" s="35">
        <v>-401138135.12705117</v>
      </c>
      <c r="BK61" s="4">
        <v>-401138135.12705117</v>
      </c>
      <c r="BL61" s="35">
        <v>-401138135.12705117</v>
      </c>
      <c r="BM61" s="4">
        <v>-401138135.12705117</v>
      </c>
      <c r="BN61" s="4">
        <v>-401138135.12705117</v>
      </c>
      <c r="BO61" s="4">
        <v>-401138135.12705117</v>
      </c>
      <c r="BP61" s="4">
        <v>-401138135.12705117</v>
      </c>
      <c r="BQ61" s="35">
        <v>-401138135.12705117</v>
      </c>
      <c r="BR61" s="4">
        <v>-401138135.12705117</v>
      </c>
      <c r="BS61" s="35">
        <v>-401138135.12705117</v>
      </c>
      <c r="BT61" s="4">
        <v>-401138135.12705117</v>
      </c>
      <c r="BU61" s="4">
        <v>-401138135.12705117</v>
      </c>
      <c r="BV61" s="4">
        <v>-401138135.12705117</v>
      </c>
      <c r="BW61" s="4">
        <v>-401138135.12705117</v>
      </c>
      <c r="BX61" s="4">
        <v>-401138135.12705117</v>
      </c>
      <c r="BY61" s="4">
        <v>-401138135.12705117</v>
      </c>
      <c r="BZ61" s="4">
        <v>-401138135.12705117</v>
      </c>
      <c r="CA61" s="4">
        <v>-401138135.12705117</v>
      </c>
      <c r="CB61" s="4">
        <v>-401138135.12705117</v>
      </c>
      <c r="CC61" s="4">
        <v>-401138135.12705117</v>
      </c>
      <c r="CD61" s="4">
        <v>-401138135.12705117</v>
      </c>
      <c r="CE61" s="4">
        <v>-401138135.12705117</v>
      </c>
      <c r="CF61" s="4">
        <v>-401138135.12705117</v>
      </c>
      <c r="CG61" s="4">
        <v>-401138135.12705117</v>
      </c>
      <c r="CH61" s="4">
        <v>-401138135.12705117</v>
      </c>
      <c r="CI61" s="4">
        <v>-401138135.12705117</v>
      </c>
      <c r="CJ61" s="35">
        <v>-401138135.12705117</v>
      </c>
      <c r="CK61" s="4">
        <v>-401138135.12705117</v>
      </c>
      <c r="CL61" s="35">
        <v>-401138135.12705117</v>
      </c>
      <c r="CM61" s="4">
        <v>-401138135.12705117</v>
      </c>
      <c r="CN61" s="4">
        <v>-401138135.12705117</v>
      </c>
      <c r="CO61" s="4">
        <v>-401138135.12705117</v>
      </c>
      <c r="CP61" s="4">
        <v>-401138135.12705117</v>
      </c>
      <c r="CQ61" s="4">
        <v>-401138135.12705117</v>
      </c>
      <c r="CR61" s="4">
        <v>-401138135.12705117</v>
      </c>
      <c r="CS61" s="4">
        <v>-401138135.12705117</v>
      </c>
    </row>
    <row r="62" spans="1:97" x14ac:dyDescent="0.25">
      <c r="C62" s="23"/>
      <c r="D62" s="4"/>
      <c r="E62" s="4"/>
      <c r="F62" s="4"/>
      <c r="G62" s="4"/>
      <c r="H62" s="4"/>
      <c r="I62" s="4"/>
      <c r="J62" s="4"/>
      <c r="K62" s="4"/>
      <c r="L62" s="23"/>
      <c r="M62" s="4"/>
      <c r="N62" s="4"/>
      <c r="O62" s="23"/>
      <c r="P62" s="4"/>
      <c r="Q62" s="4"/>
      <c r="R62" s="4"/>
      <c r="S62" s="4"/>
      <c r="T62" s="23"/>
      <c r="U62" s="39"/>
      <c r="V62" s="39"/>
      <c r="W62" s="39"/>
      <c r="X62" s="39"/>
      <c r="Y62" s="23"/>
      <c r="Z62" s="39"/>
      <c r="AA62" s="39"/>
      <c r="AB62" s="39"/>
      <c r="AC62" s="39"/>
      <c r="AD62" s="4"/>
      <c r="AE62" s="4"/>
      <c r="AF62" s="4"/>
      <c r="AG62" s="4"/>
      <c r="AH62" s="4"/>
      <c r="AI62" s="4"/>
      <c r="AJ62" s="23"/>
      <c r="AK62" s="39"/>
      <c r="AL62" s="39"/>
      <c r="AM62" s="39"/>
      <c r="AN62" s="39"/>
      <c r="AO62" s="4"/>
      <c r="AP62" s="23"/>
      <c r="AQ62" s="4"/>
      <c r="AR62" s="4"/>
      <c r="AS62" s="4"/>
      <c r="AT62" s="4"/>
      <c r="AU62" s="4"/>
      <c r="AV62" s="23"/>
      <c r="AW62" s="4"/>
      <c r="AX62" s="4"/>
      <c r="AY62" s="4"/>
      <c r="AZ62" s="4"/>
      <c r="BA62" s="4"/>
      <c r="BB62" s="23"/>
      <c r="BC62" s="4"/>
      <c r="BD62" s="4"/>
      <c r="BE62" s="4"/>
      <c r="BF62" s="4"/>
      <c r="BG62" s="4"/>
      <c r="BH62" s="4"/>
      <c r="BI62" s="23"/>
      <c r="BJ62" s="35"/>
      <c r="BK62" s="4"/>
      <c r="BL62" s="35"/>
      <c r="BM62" s="4"/>
      <c r="BN62" s="4"/>
      <c r="BO62" s="4"/>
      <c r="BP62" s="4"/>
      <c r="BQ62" s="35"/>
      <c r="BR62" s="4"/>
      <c r="BS62" s="35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35"/>
      <c r="CK62" s="4"/>
      <c r="CL62" s="35"/>
      <c r="CM62" s="4"/>
      <c r="CN62" s="4"/>
      <c r="CO62" s="4"/>
      <c r="CP62" s="4"/>
      <c r="CQ62" s="4"/>
      <c r="CR62" s="4"/>
      <c r="CS62" s="4"/>
    </row>
    <row r="63" spans="1:97" x14ac:dyDescent="0.25">
      <c r="A63" s="1" t="s">
        <v>69</v>
      </c>
      <c r="B63" s="2"/>
      <c r="C63" s="23"/>
      <c r="D63" s="4"/>
      <c r="E63" s="4"/>
      <c r="F63" s="4"/>
      <c r="G63" s="4"/>
      <c r="H63" s="4"/>
      <c r="I63" s="4"/>
      <c r="J63" s="4"/>
      <c r="K63" s="4"/>
      <c r="L63" s="23"/>
      <c r="M63" s="4"/>
      <c r="N63" s="4"/>
      <c r="O63" s="23"/>
      <c r="P63" s="4"/>
      <c r="Q63" s="4"/>
      <c r="R63" s="4"/>
      <c r="S63" s="4"/>
      <c r="T63" s="23"/>
      <c r="U63" s="39"/>
      <c r="V63" s="39"/>
      <c r="W63" s="39"/>
      <c r="X63" s="39"/>
      <c r="Y63" s="23"/>
      <c r="Z63" s="39"/>
      <c r="AA63" s="39"/>
      <c r="AB63" s="39"/>
      <c r="AC63" s="39"/>
      <c r="AD63" s="4"/>
      <c r="AE63" s="4"/>
      <c r="AF63" s="4"/>
      <c r="AG63" s="4"/>
      <c r="AH63" s="4"/>
      <c r="AI63" s="4"/>
      <c r="AJ63" s="23"/>
      <c r="AK63" s="39"/>
      <c r="AL63" s="39"/>
      <c r="AM63" s="39"/>
      <c r="AN63" s="39"/>
      <c r="AO63" s="4"/>
      <c r="AP63" s="23"/>
      <c r="AQ63" s="4"/>
      <c r="AR63" s="4"/>
      <c r="AS63" s="4"/>
      <c r="AT63" s="4"/>
      <c r="AU63" s="4"/>
      <c r="AV63" s="23"/>
      <c r="AW63" s="4"/>
      <c r="AX63" s="4"/>
      <c r="AY63" s="4"/>
      <c r="AZ63" s="4"/>
      <c r="BA63" s="4"/>
      <c r="BB63" s="23"/>
      <c r="BC63" s="4"/>
      <c r="BD63" s="4"/>
      <c r="BE63" s="4"/>
      <c r="BF63" s="4"/>
      <c r="BG63" s="4"/>
      <c r="BH63" s="4"/>
      <c r="BI63" s="23"/>
      <c r="BJ63" s="35"/>
      <c r="BK63" s="4"/>
      <c r="BL63" s="35"/>
      <c r="BM63" s="4"/>
      <c r="BN63" s="4"/>
      <c r="BO63" s="4"/>
      <c r="BP63" s="4"/>
      <c r="BQ63" s="35"/>
      <c r="BR63" s="4"/>
      <c r="BS63" s="35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35"/>
      <c r="CK63" s="4"/>
      <c r="CL63" s="35"/>
      <c r="CM63" s="4"/>
      <c r="CN63" s="4"/>
      <c r="CO63" s="4"/>
      <c r="CP63" s="4"/>
      <c r="CQ63" s="4"/>
      <c r="CR63" s="4"/>
      <c r="CS63" s="4"/>
    </row>
    <row r="64" spans="1:97" x14ac:dyDescent="0.25">
      <c r="A64" t="s">
        <v>70</v>
      </c>
      <c r="B64" s="2" t="s">
        <v>71</v>
      </c>
      <c r="C64" s="23">
        <v>261325892.50999999</v>
      </c>
      <c r="D64" s="4">
        <v>261325892.50999999</v>
      </c>
      <c r="E64" s="4">
        <v>261325892.50999999</v>
      </c>
      <c r="F64" s="4">
        <v>261325892.50999999</v>
      </c>
      <c r="G64" s="4">
        <v>261325892.50999999</v>
      </c>
      <c r="H64" s="4">
        <v>261325892.50999999</v>
      </c>
      <c r="I64" s="4">
        <v>261325892.50999999</v>
      </c>
      <c r="J64" s="4">
        <v>261325892.50999999</v>
      </c>
      <c r="K64" s="4">
        <v>261325892.50999999</v>
      </c>
      <c r="L64" s="23">
        <v>261325892.50999999</v>
      </c>
      <c r="M64" s="4">
        <v>261325892.50999999</v>
      </c>
      <c r="N64" s="4">
        <v>261325892.50999999</v>
      </c>
      <c r="O64" s="23">
        <v>261325892.50999999</v>
      </c>
      <c r="P64" s="4">
        <v>261325892.50999999</v>
      </c>
      <c r="Q64" s="4">
        <v>3730284.71329313</v>
      </c>
      <c r="R64" s="4">
        <v>3730284.71329313</v>
      </c>
      <c r="S64" s="4">
        <v>3730284.71329313</v>
      </c>
      <c r="T64" s="23">
        <v>3730284.71329313</v>
      </c>
      <c r="U64" s="39">
        <v>3730284.71329313</v>
      </c>
      <c r="V64" s="39">
        <v>3730284.71329313</v>
      </c>
      <c r="W64" s="39">
        <v>3730284.71329313</v>
      </c>
      <c r="X64" s="39">
        <v>3730284.71329313</v>
      </c>
      <c r="Y64" s="23">
        <v>3730284.71329313</v>
      </c>
      <c r="Z64" s="39">
        <v>3730284.71329313</v>
      </c>
      <c r="AA64" s="39">
        <v>3730284.71329313</v>
      </c>
      <c r="AB64" s="39">
        <v>3730284.71329313</v>
      </c>
      <c r="AC64" s="39">
        <v>3730284.71329313</v>
      </c>
      <c r="AD64" s="4">
        <v>3730284.71329313</v>
      </c>
      <c r="AE64" s="4">
        <v>3730284.71329313</v>
      </c>
      <c r="AF64" s="4">
        <v>89069632.213141188</v>
      </c>
      <c r="AG64" s="4">
        <v>89069632.213141188</v>
      </c>
      <c r="AH64" s="4">
        <v>89069632.213141188</v>
      </c>
      <c r="AI64" s="4">
        <v>89069632.213141188</v>
      </c>
      <c r="AJ64" s="23">
        <v>89069632.213141188</v>
      </c>
      <c r="AK64" s="39">
        <v>89069632.213141188</v>
      </c>
      <c r="AL64" s="39">
        <v>89069632.213141188</v>
      </c>
      <c r="AM64" s="39">
        <v>89069632.213141188</v>
      </c>
      <c r="AN64" s="39">
        <v>89069632.213141188</v>
      </c>
      <c r="AO64" s="4">
        <v>89069632.213141188</v>
      </c>
      <c r="AP64" s="23">
        <v>89069632.213141188</v>
      </c>
      <c r="AQ64" s="4">
        <v>89069632.213141188</v>
      </c>
      <c r="AR64" s="4">
        <v>89069632.213141188</v>
      </c>
      <c r="AS64" s="4">
        <v>89069632.213141188</v>
      </c>
      <c r="AT64" s="4">
        <v>89069632.213141188</v>
      </c>
      <c r="AU64" s="4">
        <v>89069632.213141188</v>
      </c>
      <c r="AV64" s="23">
        <v>89069632.213141188</v>
      </c>
      <c r="AW64" s="4">
        <v>89069632.213141188</v>
      </c>
      <c r="AX64" s="4">
        <v>89069632.213141188</v>
      </c>
      <c r="AY64" s="4">
        <v>89069632.213141188</v>
      </c>
      <c r="AZ64" s="4">
        <v>89069632.213141188</v>
      </c>
      <c r="BA64" s="4">
        <v>89069632.213141188</v>
      </c>
      <c r="BB64" s="23">
        <v>89069632.213141188</v>
      </c>
      <c r="BC64" s="4">
        <v>89069632.213141188</v>
      </c>
      <c r="BD64" s="4">
        <v>89069632.213141188</v>
      </c>
      <c r="BE64" s="4">
        <v>89069632.213141188</v>
      </c>
      <c r="BF64" s="4">
        <v>89069632.213141188</v>
      </c>
      <c r="BG64" s="4">
        <v>14951168.834508497</v>
      </c>
      <c r="BH64" s="4">
        <v>14951168.834508497</v>
      </c>
      <c r="BI64" s="23">
        <v>14951168.834508497</v>
      </c>
      <c r="BJ64" s="35">
        <v>14951168.834508497</v>
      </c>
      <c r="BK64" s="4">
        <v>14951168.834508497</v>
      </c>
      <c r="BL64" s="35">
        <v>14951168.834508497</v>
      </c>
      <c r="BM64" s="4">
        <v>14951168.834508497</v>
      </c>
      <c r="BN64" s="4">
        <v>14951168.834508497</v>
      </c>
      <c r="BO64" s="4">
        <v>14951168.834508497</v>
      </c>
      <c r="BP64" s="4">
        <v>14951168.834508497</v>
      </c>
      <c r="BQ64" s="35">
        <v>14951168.834508497</v>
      </c>
      <c r="BR64" s="4">
        <v>14951168.834508497</v>
      </c>
      <c r="BS64" s="35">
        <v>14951168.834508497</v>
      </c>
      <c r="BT64" s="4">
        <v>14951168.834508497</v>
      </c>
      <c r="BU64" s="4">
        <v>14951168.834508497</v>
      </c>
      <c r="BV64" s="4">
        <v>14951168.834508497</v>
      </c>
      <c r="BW64" s="4">
        <v>14951168.834508497</v>
      </c>
      <c r="BX64" s="4">
        <v>14951168.834508497</v>
      </c>
      <c r="BY64" s="4">
        <v>14951168.834508497</v>
      </c>
      <c r="BZ64" s="4">
        <v>14951168.834508497</v>
      </c>
      <c r="CA64" s="4">
        <v>14951168.834508497</v>
      </c>
      <c r="CB64" s="4">
        <v>14951168.834508497</v>
      </c>
      <c r="CC64" s="4">
        <v>14951168.834508497</v>
      </c>
      <c r="CD64" s="4">
        <v>14951168.834508497</v>
      </c>
      <c r="CE64" s="4">
        <v>14951168.834508497</v>
      </c>
      <c r="CF64" s="4">
        <v>14951168.834508497</v>
      </c>
      <c r="CG64" s="4">
        <v>14951168.834508497</v>
      </c>
      <c r="CH64" s="4">
        <v>14951168.834508497</v>
      </c>
      <c r="CI64" s="4">
        <v>14951168.834508497</v>
      </c>
      <c r="CJ64" s="35">
        <v>14951168.834508497</v>
      </c>
      <c r="CK64" s="4">
        <v>14951168.834508497</v>
      </c>
      <c r="CL64" s="35">
        <v>14951168.834508497</v>
      </c>
      <c r="CM64" s="4">
        <v>14951168.834508497</v>
      </c>
      <c r="CN64" s="4">
        <v>14951168.834508497</v>
      </c>
      <c r="CO64" s="4">
        <v>14951168.834508497</v>
      </c>
      <c r="CP64" s="4">
        <v>14951168.834508497</v>
      </c>
      <c r="CQ64" s="4">
        <v>14951168.834508497</v>
      </c>
      <c r="CR64" s="4">
        <v>14951168.834508497</v>
      </c>
      <c r="CS64" s="4">
        <v>14951168.834508497</v>
      </c>
    </row>
    <row r="65" spans="1:97" x14ac:dyDescent="0.25">
      <c r="A65" t="s">
        <v>72</v>
      </c>
      <c r="B65" s="2" t="s">
        <v>73</v>
      </c>
      <c r="C65" s="23">
        <v>252449599.45666665</v>
      </c>
      <c r="D65" s="4">
        <v>252449599.45666665</v>
      </c>
      <c r="E65" s="4">
        <v>252449599.45666665</v>
      </c>
      <c r="F65" s="4">
        <v>252449599.45666665</v>
      </c>
      <c r="G65" s="4">
        <v>252449599.45666665</v>
      </c>
      <c r="H65" s="4">
        <v>252449599.45666665</v>
      </c>
      <c r="I65" s="4">
        <v>252449599.45666665</v>
      </c>
      <c r="J65" s="4">
        <v>252449599.45666665</v>
      </c>
      <c r="K65" s="4">
        <v>252449599.45666665</v>
      </c>
      <c r="L65" s="23">
        <v>252449599.45666665</v>
      </c>
      <c r="M65" s="4">
        <v>252449599.45666665</v>
      </c>
      <c r="N65" s="4">
        <v>252449599.45666665</v>
      </c>
      <c r="O65" s="23">
        <v>252449599.45666665</v>
      </c>
      <c r="P65" s="4">
        <v>252449599.45666665</v>
      </c>
      <c r="Q65" s="4">
        <v>3492972.2849999997</v>
      </c>
      <c r="R65" s="4">
        <v>3492972.2849999997</v>
      </c>
      <c r="S65" s="4">
        <v>3492972.2849999997</v>
      </c>
      <c r="T65" s="23">
        <v>3492972.2849999997</v>
      </c>
      <c r="U65" s="39">
        <v>3492972.2849999997</v>
      </c>
      <c r="V65" s="39">
        <v>3492972.2849999997</v>
      </c>
      <c r="W65" s="39">
        <v>3492972.2849999997</v>
      </c>
      <c r="X65" s="39">
        <v>3492972.2849999997</v>
      </c>
      <c r="Y65" s="23">
        <v>3492972.2849999997</v>
      </c>
      <c r="Z65" s="39">
        <v>3492972.2849999997</v>
      </c>
      <c r="AA65" s="39">
        <v>3492972.2849999997</v>
      </c>
      <c r="AB65" s="39">
        <v>3492972.2849999997</v>
      </c>
      <c r="AC65" s="39">
        <v>3492972.2849999997</v>
      </c>
      <c r="AD65" s="4">
        <v>3492972.2849999997</v>
      </c>
      <c r="AE65" s="4">
        <v>3492972.2849999997</v>
      </c>
      <c r="AF65" s="4">
        <v>41437526.2341315</v>
      </c>
      <c r="AG65" s="4">
        <v>41437526.2341315</v>
      </c>
      <c r="AH65" s="4">
        <v>41437526.2341315</v>
      </c>
      <c r="AI65" s="4">
        <v>41437526.2341315</v>
      </c>
      <c r="AJ65" s="23">
        <v>41437526.2341315</v>
      </c>
      <c r="AK65" s="39">
        <v>41437526.2341315</v>
      </c>
      <c r="AL65" s="39">
        <v>41437526.2341315</v>
      </c>
      <c r="AM65" s="39">
        <v>41437526.2341315</v>
      </c>
      <c r="AN65" s="39">
        <v>41437526.2341315</v>
      </c>
      <c r="AO65" s="4">
        <v>41437526.2341315</v>
      </c>
      <c r="AP65" s="23">
        <v>41437526.2341315</v>
      </c>
      <c r="AQ65" s="4">
        <v>41437526.2341315</v>
      </c>
      <c r="AR65" s="4">
        <v>41437526.2341315</v>
      </c>
      <c r="AS65" s="4">
        <v>41437526.2341315</v>
      </c>
      <c r="AT65" s="4">
        <v>41437526.2341315</v>
      </c>
      <c r="AU65" s="4">
        <v>41437526.2341315</v>
      </c>
      <c r="AV65" s="23">
        <v>41437526.2341315</v>
      </c>
      <c r="AW65" s="4">
        <v>41437526.2341315</v>
      </c>
      <c r="AX65" s="4">
        <v>41437526.2341315</v>
      </c>
      <c r="AY65" s="4">
        <v>41437526.2341315</v>
      </c>
      <c r="AZ65" s="4">
        <v>41437526.2341315</v>
      </c>
      <c r="BA65" s="4">
        <v>41437526.2341315</v>
      </c>
      <c r="BB65" s="23">
        <v>41437526.2341315</v>
      </c>
      <c r="BC65" s="4">
        <v>41437526.2341315</v>
      </c>
      <c r="BD65" s="4">
        <v>41437526.2341315</v>
      </c>
      <c r="BE65" s="4">
        <v>41437526.2341315</v>
      </c>
      <c r="BF65" s="4">
        <v>41437526.2341315</v>
      </c>
      <c r="BG65" s="4">
        <v>32232442.575672198</v>
      </c>
      <c r="BH65" s="4">
        <v>32232442.575672198</v>
      </c>
      <c r="BI65" s="23">
        <v>32232442.575672198</v>
      </c>
      <c r="BJ65" s="35">
        <v>32232442.575672198</v>
      </c>
      <c r="BK65" s="4">
        <v>32232442.575672198</v>
      </c>
      <c r="BL65" s="35">
        <v>32232442.575672198</v>
      </c>
      <c r="BM65" s="4">
        <v>32232442.575672198</v>
      </c>
      <c r="BN65" s="4">
        <v>32232442.575672198</v>
      </c>
      <c r="BO65" s="4">
        <v>32232442.575672198</v>
      </c>
      <c r="BP65" s="4">
        <v>32232442.575672198</v>
      </c>
      <c r="BQ65" s="35">
        <v>32232442.575672198</v>
      </c>
      <c r="BR65" s="4">
        <v>32232442.575672198</v>
      </c>
      <c r="BS65" s="35">
        <v>32232442.575672198</v>
      </c>
      <c r="BT65" s="4">
        <v>32232442.575672198</v>
      </c>
      <c r="BU65" s="4">
        <v>32232442.575672198</v>
      </c>
      <c r="BV65" s="4">
        <v>32232442.575672198</v>
      </c>
      <c r="BW65" s="4">
        <v>32232442.575672198</v>
      </c>
      <c r="BX65" s="4">
        <v>32232442.575672198</v>
      </c>
      <c r="BY65" s="4">
        <v>32232442.575672198</v>
      </c>
      <c r="BZ65" s="4">
        <v>32232442.575672198</v>
      </c>
      <c r="CA65" s="4">
        <v>32232442.575672198</v>
      </c>
      <c r="CB65" s="4">
        <v>32232442.575672198</v>
      </c>
      <c r="CC65" s="4">
        <v>32232442.575672198</v>
      </c>
      <c r="CD65" s="4">
        <v>32232442.575672198</v>
      </c>
      <c r="CE65" s="4">
        <v>32232442.575672198</v>
      </c>
      <c r="CF65" s="4">
        <v>32232442.575672198</v>
      </c>
      <c r="CG65" s="4">
        <v>32232442.575672198</v>
      </c>
      <c r="CH65" s="4">
        <v>32232442.575672198</v>
      </c>
      <c r="CI65" s="4">
        <v>32232442.575672198</v>
      </c>
      <c r="CJ65" s="35">
        <v>32232442.575672198</v>
      </c>
      <c r="CK65" s="4">
        <v>32232442.575672198</v>
      </c>
      <c r="CL65" s="35">
        <v>32232442.575672198</v>
      </c>
      <c r="CM65" s="4">
        <v>32232442.575672198</v>
      </c>
      <c r="CN65" s="4">
        <v>32232442.575672198</v>
      </c>
      <c r="CO65" s="4">
        <v>32232442.575672198</v>
      </c>
      <c r="CP65" s="4">
        <v>32232442.575672198</v>
      </c>
      <c r="CQ65" s="4">
        <v>32232442.575672198</v>
      </c>
      <c r="CR65" s="4">
        <v>32232442.575672198</v>
      </c>
      <c r="CS65" s="4">
        <v>32232442.575672198</v>
      </c>
    </row>
    <row r="66" spans="1:97" x14ac:dyDescent="0.25">
      <c r="A66" t="s">
        <v>74</v>
      </c>
      <c r="B66" s="2" t="s">
        <v>75</v>
      </c>
      <c r="C66" s="23">
        <v>19128180.864229918</v>
      </c>
      <c r="D66" s="4">
        <v>19128180.864229918</v>
      </c>
      <c r="E66" s="4">
        <v>19128180.864229918</v>
      </c>
      <c r="F66" s="4">
        <v>19128180.864229918</v>
      </c>
      <c r="G66" s="4">
        <v>19128180.864229918</v>
      </c>
      <c r="H66" s="4">
        <v>19128180.864229918</v>
      </c>
      <c r="I66" s="4">
        <v>19128180.864229918</v>
      </c>
      <c r="J66" s="4">
        <v>19128180.864229918</v>
      </c>
      <c r="K66" s="4">
        <v>19128180.864229918</v>
      </c>
      <c r="L66" s="23">
        <v>19128180.864229918</v>
      </c>
      <c r="M66" s="4">
        <v>19128180.864229918</v>
      </c>
      <c r="N66" s="4">
        <v>19128180.864229918</v>
      </c>
      <c r="O66" s="23">
        <v>19128180.864229918</v>
      </c>
      <c r="P66" s="4">
        <v>19128180.864229918</v>
      </c>
      <c r="Q66" s="4">
        <v>209009679.59519148</v>
      </c>
      <c r="R66" s="4">
        <v>209009679.59519148</v>
      </c>
      <c r="S66" s="4">
        <v>209009679.59519148</v>
      </c>
      <c r="T66" s="23">
        <v>209009679.59519148</v>
      </c>
      <c r="U66" s="39">
        <v>209009679.59519148</v>
      </c>
      <c r="V66" s="39">
        <v>209009679.59519148</v>
      </c>
      <c r="W66" s="39">
        <v>209009679.59519148</v>
      </c>
      <c r="X66" s="39">
        <v>209009679.59519148</v>
      </c>
      <c r="Y66" s="23">
        <v>209009679.59519148</v>
      </c>
      <c r="Z66" s="39">
        <v>209009679.59519148</v>
      </c>
      <c r="AA66" s="39">
        <v>209009679.59519148</v>
      </c>
      <c r="AB66" s="39">
        <v>209009679.59519148</v>
      </c>
      <c r="AC66" s="39">
        <v>209009679.59519148</v>
      </c>
      <c r="AD66" s="4">
        <v>209009679.59519148</v>
      </c>
      <c r="AE66" s="4">
        <v>209009679.59519148</v>
      </c>
      <c r="AF66" s="4">
        <v>28571069.295833319</v>
      </c>
      <c r="AG66" s="4">
        <v>28571069.295833319</v>
      </c>
      <c r="AH66" s="4">
        <v>28571069.295833319</v>
      </c>
      <c r="AI66" s="4">
        <v>28571069.295833319</v>
      </c>
      <c r="AJ66" s="23">
        <v>28571069.295833319</v>
      </c>
      <c r="AK66" s="39">
        <v>28571069.295833319</v>
      </c>
      <c r="AL66" s="39">
        <v>28571069.295833319</v>
      </c>
      <c r="AM66" s="39">
        <v>28571069.295833319</v>
      </c>
      <c r="AN66" s="39">
        <v>28571069.295833319</v>
      </c>
      <c r="AO66" s="4">
        <v>28571069.295833319</v>
      </c>
      <c r="AP66" s="23">
        <v>28571069.295833319</v>
      </c>
      <c r="AQ66" s="4">
        <v>28571069.295833319</v>
      </c>
      <c r="AR66" s="4">
        <v>28571069.295833319</v>
      </c>
      <c r="AS66" s="4">
        <v>28571069.295833319</v>
      </c>
      <c r="AT66" s="4">
        <v>28571069.295833319</v>
      </c>
      <c r="AU66" s="4">
        <v>28571069.295833319</v>
      </c>
      <c r="AV66" s="23">
        <v>28571069.295833319</v>
      </c>
      <c r="AW66" s="4">
        <v>28571069.295833319</v>
      </c>
      <c r="AX66" s="4">
        <v>28571069.295833319</v>
      </c>
      <c r="AY66" s="4">
        <v>28571069.295833319</v>
      </c>
      <c r="AZ66" s="4">
        <v>28571069.295833319</v>
      </c>
      <c r="BA66" s="4">
        <v>28571069.295833319</v>
      </c>
      <c r="BB66" s="23">
        <v>28571069.295833319</v>
      </c>
      <c r="BC66" s="4">
        <v>28571069.295833319</v>
      </c>
      <c r="BD66" s="4">
        <v>28571069.295833319</v>
      </c>
      <c r="BE66" s="4">
        <v>28571069.295833319</v>
      </c>
      <c r="BF66" s="4">
        <v>28571069.295833319</v>
      </c>
      <c r="BG66" s="4">
        <v>33576472.424633004</v>
      </c>
      <c r="BH66" s="4">
        <v>33576472.424633004</v>
      </c>
      <c r="BI66" s="23">
        <v>33576472.424633004</v>
      </c>
      <c r="BJ66" s="35">
        <v>33576472.424633004</v>
      </c>
      <c r="BK66" s="4">
        <v>33576472.424633004</v>
      </c>
      <c r="BL66" s="35">
        <v>33576472.424633004</v>
      </c>
      <c r="BM66" s="4">
        <v>33576472.424633004</v>
      </c>
      <c r="BN66" s="4">
        <v>33576472.424633004</v>
      </c>
      <c r="BO66" s="4">
        <v>33576472.424633004</v>
      </c>
      <c r="BP66" s="4">
        <v>33576472.424633004</v>
      </c>
      <c r="BQ66" s="35">
        <v>33576472.424633004</v>
      </c>
      <c r="BR66" s="4">
        <v>33576472.424633004</v>
      </c>
      <c r="BS66" s="35">
        <v>33576472.424633004</v>
      </c>
      <c r="BT66" s="4">
        <v>33576472.424633004</v>
      </c>
      <c r="BU66" s="4">
        <v>33576472.424633004</v>
      </c>
      <c r="BV66" s="4">
        <v>33576472.424633004</v>
      </c>
      <c r="BW66" s="4">
        <v>33576472.424633004</v>
      </c>
      <c r="BX66" s="4">
        <v>33576472.424633004</v>
      </c>
      <c r="BY66" s="4">
        <v>33576472.424633004</v>
      </c>
      <c r="BZ66" s="4">
        <v>33576472.424633004</v>
      </c>
      <c r="CA66" s="4">
        <v>33576472.424633004</v>
      </c>
      <c r="CB66" s="4">
        <v>33576472.424633004</v>
      </c>
      <c r="CC66" s="4">
        <v>33576472.424633004</v>
      </c>
      <c r="CD66" s="4">
        <v>33576472.424633004</v>
      </c>
      <c r="CE66" s="4">
        <v>33576472.424633004</v>
      </c>
      <c r="CF66" s="4">
        <v>33576472.424633004</v>
      </c>
      <c r="CG66" s="4">
        <v>33576472.424633004</v>
      </c>
      <c r="CH66" s="4">
        <v>33576472.424633004</v>
      </c>
      <c r="CI66" s="4">
        <v>33576472.424633004</v>
      </c>
      <c r="CJ66" s="35">
        <v>33576472.424633004</v>
      </c>
      <c r="CK66" s="4">
        <v>33576472.424633004</v>
      </c>
      <c r="CL66" s="35">
        <v>33576472.424633004</v>
      </c>
      <c r="CM66" s="4">
        <v>33576472.424633004</v>
      </c>
      <c r="CN66" s="4">
        <v>33576472.424633004</v>
      </c>
      <c r="CO66" s="4">
        <v>33576472.424633004</v>
      </c>
      <c r="CP66" s="4">
        <v>33576472.424633004</v>
      </c>
      <c r="CQ66" s="4">
        <v>33576472.424633004</v>
      </c>
      <c r="CR66" s="4">
        <v>33576472.424633004</v>
      </c>
      <c r="CS66" s="4">
        <v>33576472.424633004</v>
      </c>
    </row>
    <row r="67" spans="1:97" x14ac:dyDescent="0.25">
      <c r="A67" t="s">
        <v>76</v>
      </c>
      <c r="B67" s="2" t="s">
        <v>77</v>
      </c>
      <c r="C67" s="23">
        <v>238746578.51993757</v>
      </c>
      <c r="D67" s="4">
        <v>238746578.51993757</v>
      </c>
      <c r="E67" s="4">
        <v>238746578.51993757</v>
      </c>
      <c r="F67" s="4">
        <v>238746578.51993757</v>
      </c>
      <c r="G67" s="4">
        <v>238746578.51993757</v>
      </c>
      <c r="H67" s="4">
        <v>238746578.51993757</v>
      </c>
      <c r="I67" s="4">
        <v>238746578.51993757</v>
      </c>
      <c r="J67" s="4">
        <v>238746578.51993757</v>
      </c>
      <c r="K67" s="4">
        <v>238746578.51993757</v>
      </c>
      <c r="L67" s="23">
        <v>238746578.51993757</v>
      </c>
      <c r="M67" s="4">
        <v>238746578.51993757</v>
      </c>
      <c r="N67" s="4">
        <v>238746578.51993757</v>
      </c>
      <c r="O67" s="23">
        <v>238746578.51993757</v>
      </c>
      <c r="P67" s="4">
        <v>238746578.51993757</v>
      </c>
      <c r="Q67" s="4">
        <v>164995937.12414584</v>
      </c>
      <c r="R67" s="4">
        <v>164995937.12414584</v>
      </c>
      <c r="S67" s="4">
        <v>164995937.12414584</v>
      </c>
      <c r="T67" s="23">
        <v>164995937.12414584</v>
      </c>
      <c r="U67" s="39">
        <v>164995937.12414584</v>
      </c>
      <c r="V67" s="39">
        <v>164995937.12414584</v>
      </c>
      <c r="W67" s="39">
        <v>164995937.12414584</v>
      </c>
      <c r="X67" s="39">
        <v>164995937.12414584</v>
      </c>
      <c r="Y67" s="23">
        <v>164995937.12414584</v>
      </c>
      <c r="Z67" s="39">
        <v>164995937.12414584</v>
      </c>
      <c r="AA67" s="39">
        <v>164995937.12414584</v>
      </c>
      <c r="AB67" s="39">
        <v>164995937.12414584</v>
      </c>
      <c r="AC67" s="39">
        <v>164995937.12414584</v>
      </c>
      <c r="AD67" s="4">
        <v>164995937.12414584</v>
      </c>
      <c r="AE67" s="4">
        <v>164995937.12414584</v>
      </c>
      <c r="AF67" s="4">
        <v>89754567.540000021</v>
      </c>
      <c r="AG67" s="4">
        <v>89754567.540000021</v>
      </c>
      <c r="AH67" s="4">
        <v>89754567.540000021</v>
      </c>
      <c r="AI67" s="4">
        <v>89754567.540000021</v>
      </c>
      <c r="AJ67" s="23">
        <v>89754567.540000021</v>
      </c>
      <c r="AK67" s="39">
        <v>89754567.540000021</v>
      </c>
      <c r="AL67" s="39">
        <v>89754567.540000021</v>
      </c>
      <c r="AM67" s="39">
        <v>89754567.540000021</v>
      </c>
      <c r="AN67" s="39">
        <v>89754567.540000021</v>
      </c>
      <c r="AO67" s="4">
        <v>89754567.540000021</v>
      </c>
      <c r="AP67" s="23">
        <v>89754567.540000021</v>
      </c>
      <c r="AQ67" s="4">
        <v>89754567.540000021</v>
      </c>
      <c r="AR67" s="4">
        <v>89754567.540000021</v>
      </c>
      <c r="AS67" s="4">
        <v>89754567.540000021</v>
      </c>
      <c r="AT67" s="4">
        <v>89754567.540000021</v>
      </c>
      <c r="AU67" s="4">
        <v>89754567.540000021</v>
      </c>
      <c r="AV67" s="23">
        <v>89754567.540000021</v>
      </c>
      <c r="AW67" s="4">
        <v>89754567.540000021</v>
      </c>
      <c r="AX67" s="4">
        <v>89754567.540000021</v>
      </c>
      <c r="AY67" s="4">
        <v>89754567.540000021</v>
      </c>
      <c r="AZ67" s="4">
        <v>89754567.540000021</v>
      </c>
      <c r="BA67" s="4">
        <v>89754567.540000021</v>
      </c>
      <c r="BB67" s="23">
        <v>89754567.540000021</v>
      </c>
      <c r="BC67" s="4">
        <v>89754567.540000021</v>
      </c>
      <c r="BD67" s="4">
        <v>89754567.540000021</v>
      </c>
      <c r="BE67" s="4">
        <v>89754567.540000021</v>
      </c>
      <c r="BF67" s="4">
        <v>89754567.540000021</v>
      </c>
      <c r="BG67" s="4">
        <v>359751524.2619254</v>
      </c>
      <c r="BH67" s="4">
        <v>359751524.2619254</v>
      </c>
      <c r="BI67" s="23">
        <v>359751524.2619254</v>
      </c>
      <c r="BJ67" s="35">
        <v>359751524.2619254</v>
      </c>
      <c r="BK67" s="4">
        <v>359751524.2619254</v>
      </c>
      <c r="BL67" s="35">
        <v>359751524.2619254</v>
      </c>
      <c r="BM67" s="4">
        <v>359751524.2619254</v>
      </c>
      <c r="BN67" s="4">
        <v>359751524.2619254</v>
      </c>
      <c r="BO67" s="4">
        <v>359751524.2619254</v>
      </c>
      <c r="BP67" s="4">
        <v>359751524.2619254</v>
      </c>
      <c r="BQ67" s="35">
        <v>359751524.2619254</v>
      </c>
      <c r="BR67" s="4">
        <v>359751524.2619254</v>
      </c>
      <c r="BS67" s="35">
        <v>359751524.2619254</v>
      </c>
      <c r="BT67" s="4">
        <v>359751524.2619254</v>
      </c>
      <c r="BU67" s="4">
        <v>359751524.2619254</v>
      </c>
      <c r="BV67" s="4">
        <v>359751524.2619254</v>
      </c>
      <c r="BW67" s="4">
        <v>359751524.2619254</v>
      </c>
      <c r="BX67" s="4">
        <v>359751524.2619254</v>
      </c>
      <c r="BY67" s="4">
        <v>359751524.2619254</v>
      </c>
      <c r="BZ67" s="4">
        <v>359751524.2619254</v>
      </c>
      <c r="CA67" s="4">
        <v>359751524.2619254</v>
      </c>
      <c r="CB67" s="4">
        <v>359751524.2619254</v>
      </c>
      <c r="CC67" s="4">
        <v>359751524.2619254</v>
      </c>
      <c r="CD67" s="4">
        <v>359751524.2619254</v>
      </c>
      <c r="CE67" s="4">
        <v>359751524.2619254</v>
      </c>
      <c r="CF67" s="4">
        <v>359751524.2619254</v>
      </c>
      <c r="CG67" s="4">
        <v>359751524.2619254</v>
      </c>
      <c r="CH67" s="4">
        <v>359751524.2619254</v>
      </c>
      <c r="CI67" s="4">
        <v>359751524.2619254</v>
      </c>
      <c r="CJ67" s="35">
        <v>359751524.2619254</v>
      </c>
      <c r="CK67" s="4">
        <v>359751524.2619254</v>
      </c>
      <c r="CL67" s="35">
        <v>359751524.2619254</v>
      </c>
      <c r="CM67" s="4">
        <v>359751524.2619254</v>
      </c>
      <c r="CN67" s="4">
        <v>359751524.2619254</v>
      </c>
      <c r="CO67" s="4">
        <v>359751524.2619254</v>
      </c>
      <c r="CP67" s="4">
        <v>359751524.2619254</v>
      </c>
      <c r="CQ67" s="4">
        <v>359751524.2619254</v>
      </c>
      <c r="CR67" s="4">
        <v>359751524.2619254</v>
      </c>
      <c r="CS67" s="4">
        <v>359751524.2619254</v>
      </c>
    </row>
    <row r="68" spans="1:97" x14ac:dyDescent="0.25">
      <c r="A68" t="s">
        <v>78</v>
      </c>
      <c r="B68" s="2" t="s">
        <v>79</v>
      </c>
      <c r="C68" s="23">
        <v>302582682.68333316</v>
      </c>
      <c r="D68" s="4">
        <v>302582682.68333316</v>
      </c>
      <c r="E68" s="4">
        <v>302582682.68333316</v>
      </c>
      <c r="F68" s="4">
        <v>302582682.68333316</v>
      </c>
      <c r="G68" s="4">
        <v>302582682.68333316</v>
      </c>
      <c r="H68" s="4">
        <v>302582682.68333316</v>
      </c>
      <c r="I68" s="4">
        <v>302582682.68333316</v>
      </c>
      <c r="J68" s="4">
        <v>302582682.68333316</v>
      </c>
      <c r="K68" s="4">
        <v>302582682.68333316</v>
      </c>
      <c r="L68" s="23">
        <v>302582682.68333316</v>
      </c>
      <c r="M68" s="4">
        <v>302582682.68333316</v>
      </c>
      <c r="N68" s="4">
        <v>302582682.68333316</v>
      </c>
      <c r="O68" s="23">
        <v>302582682.68333316</v>
      </c>
      <c r="P68" s="4">
        <v>302582682.68333316</v>
      </c>
      <c r="Q68" s="4">
        <v>326956810.47666687</v>
      </c>
      <c r="R68" s="4">
        <v>326956810.47666687</v>
      </c>
      <c r="S68" s="4">
        <v>326956810.47666687</v>
      </c>
      <c r="T68" s="23">
        <v>326956810.47666687</v>
      </c>
      <c r="U68" s="39">
        <v>326956810.47666687</v>
      </c>
      <c r="V68" s="39">
        <v>326956810.47666687</v>
      </c>
      <c r="W68" s="39">
        <v>326956810.47666687</v>
      </c>
      <c r="X68" s="39">
        <v>326956810.47666687</v>
      </c>
      <c r="Y68" s="23">
        <v>326956810.47666687</v>
      </c>
      <c r="Z68" s="39">
        <v>326956810.47666687</v>
      </c>
      <c r="AA68" s="39">
        <v>326956810.47666687</v>
      </c>
      <c r="AB68" s="39">
        <v>326956810.47666687</v>
      </c>
      <c r="AC68" s="39">
        <v>326956810.47666687</v>
      </c>
      <c r="AD68" s="4">
        <v>326956810.47666687</v>
      </c>
      <c r="AE68" s="4">
        <v>326956810.47666687</v>
      </c>
      <c r="AF68" s="4">
        <v>609827227.05589604</v>
      </c>
      <c r="AG68" s="4">
        <v>609827227.05589604</v>
      </c>
      <c r="AH68" s="4">
        <v>609827227.05589604</v>
      </c>
      <c r="AI68" s="4">
        <v>609827227.05589604</v>
      </c>
      <c r="AJ68" s="23">
        <v>609827227.05589604</v>
      </c>
      <c r="AK68" s="39">
        <v>609827227.05589604</v>
      </c>
      <c r="AL68" s="39">
        <v>609827227.05589604</v>
      </c>
      <c r="AM68" s="39">
        <v>609827227.05589604</v>
      </c>
      <c r="AN68" s="39">
        <v>609827227.05589604</v>
      </c>
      <c r="AO68" s="4">
        <v>609827227.05589604</v>
      </c>
      <c r="AP68" s="23">
        <v>609827227.05589604</v>
      </c>
      <c r="AQ68" s="4">
        <v>609827227.05589604</v>
      </c>
      <c r="AR68" s="4">
        <v>609827227.05589604</v>
      </c>
      <c r="AS68" s="4">
        <v>609827227.05589604</v>
      </c>
      <c r="AT68" s="4">
        <v>609827227.05589604</v>
      </c>
      <c r="AU68" s="4">
        <v>609827227.05589604</v>
      </c>
      <c r="AV68" s="23">
        <v>609827227.05589604</v>
      </c>
      <c r="AW68" s="4">
        <v>609827227.05589604</v>
      </c>
      <c r="AX68" s="4">
        <v>609827227.05589604</v>
      </c>
      <c r="AY68" s="4">
        <v>609827227.05589604</v>
      </c>
      <c r="AZ68" s="4">
        <v>609827227.05589604</v>
      </c>
      <c r="BA68" s="4">
        <v>609827227.05589604</v>
      </c>
      <c r="BB68" s="23">
        <v>609827227.05589604</v>
      </c>
      <c r="BC68" s="4">
        <v>609827227.05589604</v>
      </c>
      <c r="BD68" s="4">
        <v>609827227.05589604</v>
      </c>
      <c r="BE68" s="4">
        <v>609827227.05589604</v>
      </c>
      <c r="BF68" s="4">
        <v>609827227.05589604</v>
      </c>
      <c r="BG68" s="4">
        <v>326412718.21500009</v>
      </c>
      <c r="BH68" s="4">
        <v>326412718.21500009</v>
      </c>
      <c r="BI68" s="23">
        <v>326412718.21500009</v>
      </c>
      <c r="BJ68" s="35">
        <v>326412718.21500009</v>
      </c>
      <c r="BK68" s="4">
        <v>326412718.21500009</v>
      </c>
      <c r="BL68" s="35">
        <v>326412718.21500009</v>
      </c>
      <c r="BM68" s="4">
        <v>326412718.21500009</v>
      </c>
      <c r="BN68" s="4">
        <v>326412718.21500009</v>
      </c>
      <c r="BO68" s="4">
        <v>326412718.21500009</v>
      </c>
      <c r="BP68" s="4">
        <v>326412718.21500009</v>
      </c>
      <c r="BQ68" s="35">
        <v>326412718.21500009</v>
      </c>
      <c r="BR68" s="4">
        <v>326412718.21500009</v>
      </c>
      <c r="BS68" s="35">
        <v>326412718.21500009</v>
      </c>
      <c r="BT68" s="4">
        <v>326412718.21500009</v>
      </c>
      <c r="BU68" s="4">
        <v>326412718.21500009</v>
      </c>
      <c r="BV68" s="4">
        <v>326412718.21500009</v>
      </c>
      <c r="BW68" s="4">
        <v>326412718.21500009</v>
      </c>
      <c r="BX68" s="4">
        <v>326412718.21500009</v>
      </c>
      <c r="BY68" s="4">
        <v>326412718.21500009</v>
      </c>
      <c r="BZ68" s="4">
        <v>326412718.21500009</v>
      </c>
      <c r="CA68" s="4">
        <v>326412718.21500009</v>
      </c>
      <c r="CB68" s="4">
        <v>326412718.21500009</v>
      </c>
      <c r="CC68" s="4">
        <v>326412718.21500009</v>
      </c>
      <c r="CD68" s="4">
        <v>326412718.21500009</v>
      </c>
      <c r="CE68" s="4">
        <v>326412718.21500009</v>
      </c>
      <c r="CF68" s="4">
        <v>326412718.21500009</v>
      </c>
      <c r="CG68" s="4">
        <v>326412718.21500009</v>
      </c>
      <c r="CH68" s="4">
        <v>326412718.21500009</v>
      </c>
      <c r="CI68" s="4">
        <v>326412718.21500009</v>
      </c>
      <c r="CJ68" s="35">
        <v>326412718.21500009</v>
      </c>
      <c r="CK68" s="4">
        <v>326412718.21500009</v>
      </c>
      <c r="CL68" s="35">
        <v>326412718.21500009</v>
      </c>
      <c r="CM68" s="4">
        <v>326412718.21500009</v>
      </c>
      <c r="CN68" s="4">
        <v>326412718.21500009</v>
      </c>
      <c r="CO68" s="4">
        <v>326412718.21500009</v>
      </c>
      <c r="CP68" s="4">
        <v>326412718.21500009</v>
      </c>
      <c r="CQ68" s="4">
        <v>326412718.21500009</v>
      </c>
      <c r="CR68" s="4">
        <v>326412718.21500009</v>
      </c>
      <c r="CS68" s="4">
        <v>326412718.21500009</v>
      </c>
    </row>
    <row r="69" spans="1:97" x14ac:dyDescent="0.25">
      <c r="B69" s="2"/>
      <c r="C69" s="23"/>
      <c r="D69" s="4"/>
      <c r="E69" s="4"/>
      <c r="F69" s="4"/>
      <c r="G69" s="4"/>
      <c r="H69" s="4"/>
      <c r="I69" s="4"/>
      <c r="J69" s="4"/>
      <c r="K69" s="4"/>
      <c r="L69" s="23"/>
      <c r="M69" s="4"/>
      <c r="N69" s="4"/>
      <c r="O69" s="23"/>
      <c r="P69" s="4"/>
      <c r="Q69" s="4"/>
      <c r="R69" s="4"/>
      <c r="S69" s="4"/>
      <c r="T69" s="23"/>
      <c r="U69" s="39"/>
      <c r="V69" s="39"/>
      <c r="W69" s="39"/>
      <c r="X69" s="39"/>
      <c r="Y69" s="23"/>
      <c r="Z69" s="39"/>
      <c r="AA69" s="39"/>
      <c r="AB69" s="39"/>
      <c r="AC69" s="39"/>
      <c r="AD69" s="4"/>
      <c r="AE69" s="4"/>
      <c r="AF69" s="4"/>
      <c r="AG69" s="4"/>
      <c r="AH69" s="4"/>
      <c r="AI69" s="4"/>
      <c r="AJ69" s="23"/>
      <c r="AK69" s="39"/>
      <c r="AL69" s="39"/>
      <c r="AM69" s="39"/>
      <c r="AN69" s="39"/>
      <c r="AO69" s="4"/>
      <c r="AP69" s="23"/>
      <c r="AQ69" s="4"/>
      <c r="AR69" s="4"/>
      <c r="AS69" s="4"/>
      <c r="AT69" s="4"/>
      <c r="AU69" s="4"/>
      <c r="AV69" s="23"/>
      <c r="AW69" s="4"/>
      <c r="AX69" s="4"/>
      <c r="AY69" s="4"/>
      <c r="AZ69" s="4"/>
      <c r="BA69" s="4"/>
      <c r="BB69" s="23"/>
      <c r="BC69" s="4"/>
      <c r="BD69" s="4"/>
      <c r="BE69" s="4"/>
      <c r="BF69" s="4"/>
      <c r="BG69" s="4"/>
      <c r="BH69" s="4"/>
      <c r="BI69" s="23"/>
      <c r="BJ69" s="35"/>
      <c r="BK69" s="4"/>
      <c r="BL69" s="35"/>
      <c r="BM69" s="4"/>
      <c r="BN69" s="4"/>
      <c r="BO69" s="4"/>
      <c r="BP69" s="4"/>
      <c r="BQ69" s="35"/>
      <c r="BR69" s="4"/>
      <c r="BS69" s="35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35"/>
      <c r="CK69" s="4"/>
      <c r="CL69" s="35"/>
      <c r="CM69" s="4"/>
      <c r="CN69" s="4"/>
      <c r="CO69" s="4"/>
      <c r="CP69" s="4"/>
      <c r="CQ69" s="4"/>
      <c r="CR69" s="4"/>
      <c r="CS69" s="4"/>
    </row>
    <row r="70" spans="1:97" x14ac:dyDescent="0.25">
      <c r="A70" s="1" t="s">
        <v>80</v>
      </c>
      <c r="B70" s="2"/>
      <c r="C70" s="23"/>
      <c r="D70" s="4"/>
      <c r="E70" s="4"/>
      <c r="F70" s="4"/>
      <c r="G70" s="4"/>
      <c r="H70" s="4"/>
      <c r="I70" s="4"/>
      <c r="J70" s="4"/>
      <c r="K70" s="4"/>
      <c r="L70" s="23"/>
      <c r="M70" s="4"/>
      <c r="N70" s="4"/>
      <c r="O70" s="23"/>
      <c r="P70" s="4"/>
      <c r="Q70" s="4"/>
      <c r="R70" s="4"/>
      <c r="S70" s="4"/>
      <c r="T70" s="23"/>
      <c r="U70" s="39"/>
      <c r="V70" s="39"/>
      <c r="W70" s="39"/>
      <c r="X70" s="39"/>
      <c r="Y70" s="23"/>
      <c r="Z70" s="39"/>
      <c r="AA70" s="39"/>
      <c r="AB70" s="39"/>
      <c r="AC70" s="39"/>
      <c r="AD70" s="4"/>
      <c r="AE70" s="4"/>
      <c r="AF70" s="4"/>
      <c r="AG70" s="4"/>
      <c r="AH70" s="4"/>
      <c r="AI70" s="4"/>
      <c r="AJ70" s="23"/>
      <c r="AK70" s="39"/>
      <c r="AL70" s="39"/>
      <c r="AM70" s="39"/>
      <c r="AN70" s="39"/>
      <c r="AO70" s="4"/>
      <c r="AP70" s="23"/>
      <c r="AQ70" s="4"/>
      <c r="AR70" s="4"/>
      <c r="AS70" s="4"/>
      <c r="AT70" s="4"/>
      <c r="AU70" s="4"/>
      <c r="AV70" s="23"/>
      <c r="AW70" s="4"/>
      <c r="AX70" s="4"/>
      <c r="AY70" s="4"/>
      <c r="AZ70" s="4"/>
      <c r="BA70" s="4"/>
      <c r="BB70" s="23"/>
      <c r="BC70" s="4"/>
      <c r="BD70" s="4"/>
      <c r="BE70" s="4"/>
      <c r="BF70" s="4"/>
      <c r="BG70" s="4"/>
      <c r="BH70" s="4"/>
      <c r="BI70" s="23"/>
      <c r="BJ70" s="35"/>
      <c r="BK70" s="4"/>
      <c r="BL70" s="35"/>
      <c r="BM70" s="4"/>
      <c r="BN70" s="4"/>
      <c r="BO70" s="4"/>
      <c r="BP70" s="4"/>
      <c r="BQ70" s="35"/>
      <c r="BR70" s="4"/>
      <c r="BS70" s="35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35"/>
      <c r="CK70" s="4"/>
      <c r="CL70" s="35"/>
      <c r="CM70" s="4"/>
      <c r="CN70" s="4"/>
      <c r="CO70" s="4"/>
      <c r="CP70" s="4"/>
      <c r="CQ70" s="4"/>
      <c r="CR70" s="4"/>
      <c r="CS70" s="4"/>
    </row>
    <row r="71" spans="1:97" x14ac:dyDescent="0.25">
      <c r="A71" t="s">
        <v>81</v>
      </c>
      <c r="B71" s="2" t="s">
        <v>82</v>
      </c>
      <c r="C71" s="23">
        <v>-270349060.31405419</v>
      </c>
      <c r="D71" s="4">
        <v>-270349060.31405419</v>
      </c>
      <c r="E71" s="4">
        <v>-270349060.31405419</v>
      </c>
      <c r="F71" s="4">
        <v>-270349060.31405419</v>
      </c>
      <c r="G71" s="4">
        <v>-270349060.31405419</v>
      </c>
      <c r="H71" s="4">
        <v>-270349060.31405419</v>
      </c>
      <c r="I71" s="4">
        <v>-270349060.31405419</v>
      </c>
      <c r="J71" s="4">
        <v>-270349060.31405419</v>
      </c>
      <c r="K71" s="4">
        <v>-270349060.31405419</v>
      </c>
      <c r="L71" s="23">
        <v>-270349060.31405419</v>
      </c>
      <c r="M71" s="4">
        <v>-270349060.31405419</v>
      </c>
      <c r="N71" s="4">
        <v>-270349060.31405419</v>
      </c>
      <c r="O71" s="23">
        <v>-270349060.31405419</v>
      </c>
      <c r="P71" s="4">
        <v>-270349060.31405419</v>
      </c>
      <c r="Q71" s="4">
        <v>-35639455.909624204</v>
      </c>
      <c r="R71" s="4">
        <v>-35639455.909624204</v>
      </c>
      <c r="S71" s="4">
        <v>-35639455.909624204</v>
      </c>
      <c r="T71" s="23">
        <v>-35639455.909624204</v>
      </c>
      <c r="U71" s="39">
        <v>-35639455.909624204</v>
      </c>
      <c r="V71" s="39">
        <v>-35639455.909624204</v>
      </c>
      <c r="W71" s="39">
        <v>-35639455.909624204</v>
      </c>
      <c r="X71" s="39">
        <v>-35639455.909624204</v>
      </c>
      <c r="Y71" s="23">
        <v>-35639455.909624204</v>
      </c>
      <c r="Z71" s="39">
        <v>-35639455.909624204</v>
      </c>
      <c r="AA71" s="39">
        <v>-35639455.909624204</v>
      </c>
      <c r="AB71" s="39">
        <v>-35639455.909624204</v>
      </c>
      <c r="AC71" s="39">
        <v>-35639455.909624204</v>
      </c>
      <c r="AD71" s="4">
        <v>-35639455.909624204</v>
      </c>
      <c r="AE71" s="4">
        <v>-35639455.909624204</v>
      </c>
      <c r="AF71" s="4">
        <v>-105573531.53998293</v>
      </c>
      <c r="AG71" s="4">
        <v>-105573531.53998293</v>
      </c>
      <c r="AH71" s="4">
        <v>-105573531.53998293</v>
      </c>
      <c r="AI71" s="4">
        <v>-105573531.53998293</v>
      </c>
      <c r="AJ71" s="23">
        <v>-105573531.53998293</v>
      </c>
      <c r="AK71" s="39">
        <v>-105573531.53998293</v>
      </c>
      <c r="AL71" s="39">
        <v>-105573531.53998293</v>
      </c>
      <c r="AM71" s="39">
        <v>-105573531.53998293</v>
      </c>
      <c r="AN71" s="39">
        <v>-105573531.53998293</v>
      </c>
      <c r="AO71" s="4">
        <v>-105573531.53998293</v>
      </c>
      <c r="AP71" s="23">
        <v>-105573531.53998293</v>
      </c>
      <c r="AQ71" s="4">
        <v>-105573531.53998293</v>
      </c>
      <c r="AR71" s="4">
        <v>-105573531.53998293</v>
      </c>
      <c r="AS71" s="4">
        <v>-105573531.53998293</v>
      </c>
      <c r="AT71" s="4">
        <v>-105573531.53998293</v>
      </c>
      <c r="AU71" s="4">
        <v>-105573531.53998293</v>
      </c>
      <c r="AV71" s="23">
        <v>-105573531.53998293</v>
      </c>
      <c r="AW71" s="4">
        <v>-105573531.53998293</v>
      </c>
      <c r="AX71" s="4">
        <v>-105573531.53998293</v>
      </c>
      <c r="AY71" s="4">
        <v>-105573531.53998293</v>
      </c>
      <c r="AZ71" s="4">
        <v>-105573531.53998293</v>
      </c>
      <c r="BA71" s="4">
        <v>-105573531.53998293</v>
      </c>
      <c r="BB71" s="23">
        <v>-105573531.53998293</v>
      </c>
      <c r="BC71" s="4">
        <v>-105573531.53998293</v>
      </c>
      <c r="BD71" s="4">
        <v>-105573531.53998293</v>
      </c>
      <c r="BE71" s="4">
        <v>-105573531.53998293</v>
      </c>
      <c r="BF71" s="4">
        <v>-105573531.53998293</v>
      </c>
      <c r="BG71" s="4">
        <v>-343542.87254482508</v>
      </c>
      <c r="BH71" s="4">
        <v>-343542.87254482508</v>
      </c>
      <c r="BI71" s="23">
        <v>-343542.87254482508</v>
      </c>
      <c r="BJ71" s="35">
        <v>-343542.87254482508</v>
      </c>
      <c r="BK71" s="4">
        <v>-343542.87254482508</v>
      </c>
      <c r="BL71" s="35">
        <v>-343542.87254482508</v>
      </c>
      <c r="BM71" s="4">
        <v>-343542.87254482508</v>
      </c>
      <c r="BN71" s="4">
        <v>-343542.87254482508</v>
      </c>
      <c r="BO71" s="4">
        <v>-343542.87254482508</v>
      </c>
      <c r="BP71" s="4">
        <v>-343542.87254482508</v>
      </c>
      <c r="BQ71" s="35">
        <v>-343542.87254482508</v>
      </c>
      <c r="BR71" s="4">
        <v>-343542.87254482508</v>
      </c>
      <c r="BS71" s="35">
        <v>-343542.87254482508</v>
      </c>
      <c r="BT71" s="4">
        <v>-343542.87254482508</v>
      </c>
      <c r="BU71" s="4">
        <v>-343542.87254482508</v>
      </c>
      <c r="BV71" s="4">
        <v>-343542.87254482508</v>
      </c>
      <c r="BW71" s="4">
        <v>-343542.87254482508</v>
      </c>
      <c r="BX71" s="4">
        <v>-343542.87254482508</v>
      </c>
      <c r="BY71" s="4">
        <v>-343542.87254482508</v>
      </c>
      <c r="BZ71" s="4">
        <v>-343542.87254482508</v>
      </c>
      <c r="CA71" s="4">
        <v>-343542.87254482508</v>
      </c>
      <c r="CB71" s="4">
        <v>-343542.87254482508</v>
      </c>
      <c r="CC71" s="4">
        <v>-343542.87254482508</v>
      </c>
      <c r="CD71" s="4">
        <v>-343542.87254482508</v>
      </c>
      <c r="CE71" s="4">
        <v>-343542.87254482508</v>
      </c>
      <c r="CF71" s="4">
        <v>-343542.87254482508</v>
      </c>
      <c r="CG71" s="4">
        <v>-343542.87254482508</v>
      </c>
      <c r="CH71" s="4">
        <v>-343542.87254482508</v>
      </c>
      <c r="CI71" s="4">
        <v>-343542.87254482508</v>
      </c>
      <c r="CJ71" s="35">
        <v>-343542.87254482508</v>
      </c>
      <c r="CK71" s="4">
        <v>-343542.87254482508</v>
      </c>
      <c r="CL71" s="35">
        <v>-343542.87254482508</v>
      </c>
      <c r="CM71" s="4">
        <v>-343542.87254482508</v>
      </c>
      <c r="CN71" s="4">
        <v>-343542.87254482508</v>
      </c>
      <c r="CO71" s="4">
        <v>-343542.87254482508</v>
      </c>
      <c r="CP71" s="4">
        <v>-343542.87254482508</v>
      </c>
      <c r="CQ71" s="4">
        <v>-343542.87254482508</v>
      </c>
      <c r="CR71" s="4">
        <v>-343542.87254482508</v>
      </c>
      <c r="CS71" s="4">
        <v>-343542.87254482508</v>
      </c>
    </row>
    <row r="72" spans="1:97" x14ac:dyDescent="0.25">
      <c r="A72" t="s">
        <v>83</v>
      </c>
      <c r="B72" s="2" t="s">
        <v>84</v>
      </c>
      <c r="C72" s="23">
        <v>-118554059.48605697</v>
      </c>
      <c r="D72" s="4">
        <v>-118554059.48605697</v>
      </c>
      <c r="E72" s="4">
        <v>-118554059.48605697</v>
      </c>
      <c r="F72" s="4">
        <v>-118554059.48605697</v>
      </c>
      <c r="G72" s="4">
        <v>-118554059.48605697</v>
      </c>
      <c r="H72" s="4">
        <v>-118554059.48605697</v>
      </c>
      <c r="I72" s="4">
        <v>-118554059.48605697</v>
      </c>
      <c r="J72" s="4">
        <v>-118554059.48605697</v>
      </c>
      <c r="K72" s="4">
        <v>-118554059.48605697</v>
      </c>
      <c r="L72" s="23">
        <v>-118554059.48605697</v>
      </c>
      <c r="M72" s="4">
        <v>-118554059.48605697</v>
      </c>
      <c r="N72" s="4">
        <v>-118554059.48605697</v>
      </c>
      <c r="O72" s="23">
        <v>-118554059.48605697</v>
      </c>
      <c r="P72" s="4">
        <v>-118554059.48605697</v>
      </c>
      <c r="Q72" s="4">
        <v>-68498560.007751986</v>
      </c>
      <c r="R72" s="4">
        <v>-68498560.007751986</v>
      </c>
      <c r="S72" s="4">
        <v>-68498560.007751986</v>
      </c>
      <c r="T72" s="23">
        <v>-68498560.007751986</v>
      </c>
      <c r="U72" s="39">
        <v>-68498560.007751986</v>
      </c>
      <c r="V72" s="39">
        <v>-68498560.007751986</v>
      </c>
      <c r="W72" s="39">
        <v>-68498560.007751986</v>
      </c>
      <c r="X72" s="39">
        <v>-68498560.007751986</v>
      </c>
      <c r="Y72" s="23">
        <v>-68498560.007751986</v>
      </c>
      <c r="Z72" s="39">
        <v>-68498560.007751986</v>
      </c>
      <c r="AA72" s="39">
        <v>-68498560.007751986</v>
      </c>
      <c r="AB72" s="39">
        <v>-68498560.007751986</v>
      </c>
      <c r="AC72" s="39">
        <v>-68498560.007751986</v>
      </c>
      <c r="AD72" s="4">
        <v>-68498560.007751986</v>
      </c>
      <c r="AE72" s="4">
        <v>-68498560.007751986</v>
      </c>
      <c r="AF72" s="4">
        <v>-29310435.095137507</v>
      </c>
      <c r="AG72" s="4">
        <v>-29310435.095137507</v>
      </c>
      <c r="AH72" s="4">
        <v>-29310435.095137507</v>
      </c>
      <c r="AI72" s="4">
        <v>-29310435.095137507</v>
      </c>
      <c r="AJ72" s="23">
        <v>-29310435.095137507</v>
      </c>
      <c r="AK72" s="39">
        <v>-29310435.095137507</v>
      </c>
      <c r="AL72" s="39">
        <v>-29310435.095137507</v>
      </c>
      <c r="AM72" s="39">
        <v>-29310435.095137507</v>
      </c>
      <c r="AN72" s="39">
        <v>-29310435.095137507</v>
      </c>
      <c r="AO72" s="4">
        <v>-29310435.095137507</v>
      </c>
      <c r="AP72" s="23">
        <v>-29310435.095137507</v>
      </c>
      <c r="AQ72" s="4">
        <v>-29310435.095137507</v>
      </c>
      <c r="AR72" s="4">
        <v>-29310435.095137507</v>
      </c>
      <c r="AS72" s="4">
        <v>-29310435.095137507</v>
      </c>
      <c r="AT72" s="4">
        <v>-29310435.095137507</v>
      </c>
      <c r="AU72" s="4">
        <v>-29310435.095137507</v>
      </c>
      <c r="AV72" s="23">
        <v>-29310435.095137507</v>
      </c>
      <c r="AW72" s="4">
        <v>-29310435.095137507</v>
      </c>
      <c r="AX72" s="4">
        <v>-29310435.095137507</v>
      </c>
      <c r="AY72" s="4">
        <v>-29310435.095137507</v>
      </c>
      <c r="AZ72" s="4">
        <v>-29310435.095137507</v>
      </c>
      <c r="BA72" s="4">
        <v>-29310435.095137507</v>
      </c>
      <c r="BB72" s="23">
        <v>-29310435.095137507</v>
      </c>
      <c r="BC72" s="4">
        <v>-29310435.095137507</v>
      </c>
      <c r="BD72" s="4">
        <v>-29310435.095137507</v>
      </c>
      <c r="BE72" s="4">
        <v>-29310435.095137507</v>
      </c>
      <c r="BF72" s="4">
        <v>-29310435.095137507</v>
      </c>
      <c r="BG72" s="4">
        <v>-89230627.197820738</v>
      </c>
      <c r="BH72" s="4">
        <v>-89230627.197820738</v>
      </c>
      <c r="BI72" s="23">
        <v>-89230627.197820738</v>
      </c>
      <c r="BJ72" s="35">
        <v>-89230627.197820738</v>
      </c>
      <c r="BK72" s="4">
        <v>-89230627.197820738</v>
      </c>
      <c r="BL72" s="35">
        <v>-89230627.197820738</v>
      </c>
      <c r="BM72" s="4">
        <v>-89230627.197820738</v>
      </c>
      <c r="BN72" s="4">
        <v>-89230627.197820738</v>
      </c>
      <c r="BO72" s="4">
        <v>-89230627.197820738</v>
      </c>
      <c r="BP72" s="4">
        <v>-89230627.197820738</v>
      </c>
      <c r="BQ72" s="35">
        <v>-89230627.197820738</v>
      </c>
      <c r="BR72" s="4">
        <v>-89230627.197820738</v>
      </c>
      <c r="BS72" s="35">
        <v>-89230627.197820738</v>
      </c>
      <c r="BT72" s="4">
        <v>-89230627.197820738</v>
      </c>
      <c r="BU72" s="4">
        <v>-89230627.197820738</v>
      </c>
      <c r="BV72" s="4">
        <v>-89230627.197820738</v>
      </c>
      <c r="BW72" s="4">
        <v>-89230627.197820738</v>
      </c>
      <c r="BX72" s="4">
        <v>-89230627.197820738</v>
      </c>
      <c r="BY72" s="4">
        <v>-89230627.197820738</v>
      </c>
      <c r="BZ72" s="4">
        <v>-89230627.197820738</v>
      </c>
      <c r="CA72" s="4">
        <v>-89230627.197820738</v>
      </c>
      <c r="CB72" s="4">
        <v>-89230627.197820738</v>
      </c>
      <c r="CC72" s="4">
        <v>-89230627.197820738</v>
      </c>
      <c r="CD72" s="4">
        <v>-89230627.197820738</v>
      </c>
      <c r="CE72" s="4">
        <v>-89230627.197820738</v>
      </c>
      <c r="CF72" s="4">
        <v>-89230627.197820738</v>
      </c>
      <c r="CG72" s="4">
        <v>-89230627.197820738</v>
      </c>
      <c r="CH72" s="4">
        <v>-89230627.197820738</v>
      </c>
      <c r="CI72" s="4">
        <v>-89230627.197820738</v>
      </c>
      <c r="CJ72" s="35">
        <v>-89230627.197820738</v>
      </c>
      <c r="CK72" s="4">
        <v>-89230627.197820738</v>
      </c>
      <c r="CL72" s="35">
        <v>-89230627.197820738</v>
      </c>
      <c r="CM72" s="4">
        <v>-89230627.197820738</v>
      </c>
      <c r="CN72" s="4">
        <v>-89230627.197820738</v>
      </c>
      <c r="CO72" s="4">
        <v>-89230627.197820738</v>
      </c>
      <c r="CP72" s="4">
        <v>-89230627.197820738</v>
      </c>
      <c r="CQ72" s="4">
        <v>-89230627.197820738</v>
      </c>
      <c r="CR72" s="4">
        <v>-89230627.197820738</v>
      </c>
      <c r="CS72" s="4">
        <v>-89230627.197820738</v>
      </c>
    </row>
    <row r="73" spans="1:97" x14ac:dyDescent="0.25">
      <c r="A73" t="s">
        <v>85</v>
      </c>
      <c r="B73" s="2" t="s">
        <v>86</v>
      </c>
      <c r="C73" s="23">
        <v>-72311977.688826427</v>
      </c>
      <c r="D73" s="4">
        <v>-72311977.688826427</v>
      </c>
      <c r="E73" s="4">
        <v>-72311977.688826427</v>
      </c>
      <c r="F73" s="4">
        <v>-72311977.688826427</v>
      </c>
      <c r="G73" s="4">
        <v>-72311977.688826427</v>
      </c>
      <c r="H73" s="4">
        <v>-72311977.688826427</v>
      </c>
      <c r="I73" s="4">
        <v>-72311977.688826427</v>
      </c>
      <c r="J73" s="4">
        <v>-72311977.688826427</v>
      </c>
      <c r="K73" s="4">
        <v>-72311977.688826427</v>
      </c>
      <c r="L73" s="23">
        <v>-72311977.688826427</v>
      </c>
      <c r="M73" s="4">
        <v>-72311977.688826427</v>
      </c>
      <c r="N73" s="4">
        <v>-72311977.688826427</v>
      </c>
      <c r="O73" s="23">
        <v>-72311977.688826427</v>
      </c>
      <c r="P73" s="4">
        <v>-72311977.688826427</v>
      </c>
      <c r="Q73" s="4">
        <v>-43956265.333333343</v>
      </c>
      <c r="R73" s="4">
        <v>-43956265.333333343</v>
      </c>
      <c r="S73" s="4">
        <v>-43956265.333333343</v>
      </c>
      <c r="T73" s="23">
        <v>-43956265.333333343</v>
      </c>
      <c r="U73" s="39">
        <v>-43956265.333333343</v>
      </c>
      <c r="V73" s="39">
        <v>-43956265.333333343</v>
      </c>
      <c r="W73" s="39">
        <v>-43956265.333333343</v>
      </c>
      <c r="X73" s="39">
        <v>-43956265.333333343</v>
      </c>
      <c r="Y73" s="23">
        <v>-43956265.333333343</v>
      </c>
      <c r="Z73" s="39">
        <v>-43956265.333333343</v>
      </c>
      <c r="AA73" s="39">
        <v>-43956265.333333343</v>
      </c>
      <c r="AB73" s="39">
        <v>-43956265.333333343</v>
      </c>
      <c r="AC73" s="39">
        <v>-43956265.333333343</v>
      </c>
      <c r="AD73" s="4">
        <v>-43956265.333333343</v>
      </c>
      <c r="AE73" s="4">
        <v>-43956265.333333343</v>
      </c>
      <c r="AF73" s="4">
        <v>-96990193.744329646</v>
      </c>
      <c r="AG73" s="4">
        <v>-96990193.744329646</v>
      </c>
      <c r="AH73" s="4">
        <v>-96990193.744329646</v>
      </c>
      <c r="AI73" s="4">
        <v>-96990193.744329646</v>
      </c>
      <c r="AJ73" s="23">
        <v>-96990193.744329646</v>
      </c>
      <c r="AK73" s="39">
        <v>-96990193.744329646</v>
      </c>
      <c r="AL73" s="39">
        <v>-96990193.744329646</v>
      </c>
      <c r="AM73" s="39">
        <v>-96990193.744329646</v>
      </c>
      <c r="AN73" s="39">
        <v>-96990193.744329646</v>
      </c>
      <c r="AO73" s="4">
        <v>-96990193.744329646</v>
      </c>
      <c r="AP73" s="23">
        <v>-96990193.744329646</v>
      </c>
      <c r="AQ73" s="4">
        <v>-96990193.744329646</v>
      </c>
      <c r="AR73" s="4">
        <v>-96990193.744329646</v>
      </c>
      <c r="AS73" s="4">
        <v>-96990193.744329646</v>
      </c>
      <c r="AT73" s="4">
        <v>-96990193.744329646</v>
      </c>
      <c r="AU73" s="4">
        <v>-96990193.744329646</v>
      </c>
      <c r="AV73" s="23">
        <v>-96990193.744329646</v>
      </c>
      <c r="AW73" s="4">
        <v>-96990193.744329646</v>
      </c>
      <c r="AX73" s="4">
        <v>-96990193.744329646</v>
      </c>
      <c r="AY73" s="4">
        <v>-96990193.744329646</v>
      </c>
      <c r="AZ73" s="4">
        <v>-96990193.744329646</v>
      </c>
      <c r="BA73" s="4">
        <v>-96990193.744329646</v>
      </c>
      <c r="BB73" s="23">
        <v>-96990193.744329646</v>
      </c>
      <c r="BC73" s="4">
        <v>-96990193.744329646</v>
      </c>
      <c r="BD73" s="4">
        <v>-96990193.744329646</v>
      </c>
      <c r="BE73" s="4">
        <v>-96990193.744329646</v>
      </c>
      <c r="BF73" s="4">
        <v>-96990193.744329646</v>
      </c>
      <c r="BG73" s="4">
        <v>-45987787.688333333</v>
      </c>
      <c r="BH73" s="4">
        <v>-45987787.688333333</v>
      </c>
      <c r="BI73" s="23">
        <v>-45987787.688333333</v>
      </c>
      <c r="BJ73" s="35">
        <v>-45987787.688333333</v>
      </c>
      <c r="BK73" s="4">
        <v>-45987787.688333333</v>
      </c>
      <c r="BL73" s="35">
        <v>-45987787.688333333</v>
      </c>
      <c r="BM73" s="4">
        <v>-45987787.688333333</v>
      </c>
      <c r="BN73" s="4">
        <v>-45987787.688333333</v>
      </c>
      <c r="BO73" s="4">
        <v>-45987787.688333333</v>
      </c>
      <c r="BP73" s="4">
        <v>-45987787.688333333</v>
      </c>
      <c r="BQ73" s="35">
        <v>-45987787.688333333</v>
      </c>
      <c r="BR73" s="4">
        <v>-45987787.688333333</v>
      </c>
      <c r="BS73" s="35">
        <v>-45987787.688333333</v>
      </c>
      <c r="BT73" s="4">
        <v>-45987787.688333333</v>
      </c>
      <c r="BU73" s="4">
        <v>-45987787.688333333</v>
      </c>
      <c r="BV73" s="4">
        <v>-45987787.688333333</v>
      </c>
      <c r="BW73" s="4">
        <v>-45987787.688333333</v>
      </c>
      <c r="BX73" s="4">
        <v>-45987787.688333333</v>
      </c>
      <c r="BY73" s="4">
        <v>-45987787.688333333</v>
      </c>
      <c r="BZ73" s="4">
        <v>-45987787.688333333</v>
      </c>
      <c r="CA73" s="4">
        <v>-45987787.688333333</v>
      </c>
      <c r="CB73" s="4">
        <v>-45987787.688333333</v>
      </c>
      <c r="CC73" s="4">
        <v>-45987787.688333333</v>
      </c>
      <c r="CD73" s="4">
        <v>-45987787.688333333</v>
      </c>
      <c r="CE73" s="4">
        <v>-45987787.688333333</v>
      </c>
      <c r="CF73" s="4">
        <v>-45987787.688333333</v>
      </c>
      <c r="CG73" s="4">
        <v>-45987787.688333333</v>
      </c>
      <c r="CH73" s="4">
        <v>-45987787.688333333</v>
      </c>
      <c r="CI73" s="4">
        <v>-45987787.688333333</v>
      </c>
      <c r="CJ73" s="35">
        <v>-45987787.688333333</v>
      </c>
      <c r="CK73" s="4">
        <v>-45987787.688333333</v>
      </c>
      <c r="CL73" s="35">
        <v>-45987787.688333333</v>
      </c>
      <c r="CM73" s="4">
        <v>-45987787.688333333</v>
      </c>
      <c r="CN73" s="4">
        <v>-45987787.688333333</v>
      </c>
      <c r="CO73" s="4">
        <v>-45987787.688333333</v>
      </c>
      <c r="CP73" s="4">
        <v>-45987787.688333333</v>
      </c>
      <c r="CQ73" s="4">
        <v>-45987787.688333333</v>
      </c>
      <c r="CR73" s="4">
        <v>-45987787.688333333</v>
      </c>
      <c r="CS73" s="4">
        <v>-45987787.688333333</v>
      </c>
    </row>
    <row r="74" spans="1:97" x14ac:dyDescent="0.25">
      <c r="A74" t="s">
        <v>87</v>
      </c>
      <c r="B74" s="2" t="s">
        <v>88</v>
      </c>
      <c r="C74" s="23">
        <v>-156616500.48549315</v>
      </c>
      <c r="D74" s="4">
        <v>-156616500.48549315</v>
      </c>
      <c r="E74" s="4">
        <v>-156616500.48549315</v>
      </c>
      <c r="F74" s="4">
        <v>-156616500.48549315</v>
      </c>
      <c r="G74" s="4">
        <v>-156616500.48549315</v>
      </c>
      <c r="H74" s="4">
        <v>-156616500.48549315</v>
      </c>
      <c r="I74" s="4">
        <v>-156616500.48549315</v>
      </c>
      <c r="J74" s="4">
        <v>-156616500.48549315</v>
      </c>
      <c r="K74" s="4">
        <v>-156616500.48549315</v>
      </c>
      <c r="L74" s="23">
        <v>-156616500.48549315</v>
      </c>
      <c r="M74" s="4">
        <v>-156616500.48549315</v>
      </c>
      <c r="N74" s="4">
        <v>-156616500.48549315</v>
      </c>
      <c r="O74" s="23">
        <v>-156616500.48549315</v>
      </c>
      <c r="P74" s="4">
        <v>-156616500.48549315</v>
      </c>
      <c r="Q74" s="4">
        <v>-244179292.09563971</v>
      </c>
      <c r="R74" s="4">
        <v>-244179292.09563971</v>
      </c>
      <c r="S74" s="4">
        <v>-244179292.09563971</v>
      </c>
      <c r="T74" s="23">
        <v>-244179292.09563971</v>
      </c>
      <c r="U74" s="39">
        <v>-244179292.09563971</v>
      </c>
      <c r="V74" s="39">
        <v>-244179292.09563971</v>
      </c>
      <c r="W74" s="39">
        <v>-244179292.09563971</v>
      </c>
      <c r="X74" s="39">
        <v>-244179292.09563971</v>
      </c>
      <c r="Y74" s="23">
        <v>-244179292.09563971</v>
      </c>
      <c r="Z74" s="39">
        <v>-244179292.09563971</v>
      </c>
      <c r="AA74" s="39">
        <v>-244179292.09563971</v>
      </c>
      <c r="AB74" s="39">
        <v>-244179292.09563971</v>
      </c>
      <c r="AC74" s="39">
        <v>-244179292.09563971</v>
      </c>
      <c r="AD74" s="4">
        <v>-244179292.09563971</v>
      </c>
      <c r="AE74" s="4">
        <v>-244179292.09563971</v>
      </c>
      <c r="AF74" s="4">
        <v>-230728113.97689387</v>
      </c>
      <c r="AG74" s="4">
        <v>-230728113.97689387</v>
      </c>
      <c r="AH74" s="4">
        <v>-230728113.97689387</v>
      </c>
      <c r="AI74" s="4">
        <v>-230728113.97689387</v>
      </c>
      <c r="AJ74" s="23">
        <v>-230728113.97689387</v>
      </c>
      <c r="AK74" s="39">
        <v>-230728113.97689387</v>
      </c>
      <c r="AL74" s="39">
        <v>-230728113.97689387</v>
      </c>
      <c r="AM74" s="39">
        <v>-230728113.97689387</v>
      </c>
      <c r="AN74" s="39">
        <v>-230728113.97689387</v>
      </c>
      <c r="AO74" s="4">
        <v>-230728113.97689387</v>
      </c>
      <c r="AP74" s="23">
        <v>-230728113.97689387</v>
      </c>
      <c r="AQ74" s="4">
        <v>-230728113.97689387</v>
      </c>
      <c r="AR74" s="4">
        <v>-230728113.97689387</v>
      </c>
      <c r="AS74" s="4">
        <v>-230728113.97689387</v>
      </c>
      <c r="AT74" s="4">
        <v>-230728113.97689387</v>
      </c>
      <c r="AU74" s="4">
        <v>-230728113.97689387</v>
      </c>
      <c r="AV74" s="23">
        <v>-230728113.97689387</v>
      </c>
      <c r="AW74" s="4">
        <v>-230728113.97689387</v>
      </c>
      <c r="AX74" s="4">
        <v>-230728113.97689387</v>
      </c>
      <c r="AY74" s="4">
        <v>-230728113.97689387</v>
      </c>
      <c r="AZ74" s="4">
        <v>-230728113.97689387</v>
      </c>
      <c r="BA74" s="4">
        <v>-230728113.97689387</v>
      </c>
      <c r="BB74" s="23">
        <v>-230728113.97689387</v>
      </c>
      <c r="BC74" s="4">
        <v>-230728113.97689387</v>
      </c>
      <c r="BD74" s="4">
        <v>-230728113.97689387</v>
      </c>
      <c r="BE74" s="4">
        <v>-230728113.97689387</v>
      </c>
      <c r="BF74" s="4">
        <v>-230728113.97689387</v>
      </c>
      <c r="BG74" s="4">
        <v>-391609761.30287105</v>
      </c>
      <c r="BH74" s="4">
        <v>-391609761.30287105</v>
      </c>
      <c r="BI74" s="23">
        <v>-391609761.30287105</v>
      </c>
      <c r="BJ74" s="35">
        <v>-391609761.30287105</v>
      </c>
      <c r="BK74" s="4">
        <v>-391609761.30287105</v>
      </c>
      <c r="BL74" s="35">
        <v>-391609761.30287105</v>
      </c>
      <c r="BM74" s="4">
        <v>-391609761.30287105</v>
      </c>
      <c r="BN74" s="4">
        <v>-391609761.30287105</v>
      </c>
      <c r="BO74" s="4">
        <v>-391609761.30287105</v>
      </c>
      <c r="BP74" s="4">
        <v>-391609761.30287105</v>
      </c>
      <c r="BQ74" s="35">
        <v>-391609761.30287105</v>
      </c>
      <c r="BR74" s="4">
        <v>-391609761.30287105</v>
      </c>
      <c r="BS74" s="35">
        <v>-391609761.30287105</v>
      </c>
      <c r="BT74" s="4">
        <v>-391609761.30287105</v>
      </c>
      <c r="BU74" s="4">
        <v>-391609761.30287105</v>
      </c>
      <c r="BV74" s="4">
        <v>-391609761.30287105</v>
      </c>
      <c r="BW74" s="4">
        <v>-391609761.30287105</v>
      </c>
      <c r="BX74" s="4">
        <v>-391609761.30287105</v>
      </c>
      <c r="BY74" s="4">
        <v>-391609761.30287105</v>
      </c>
      <c r="BZ74" s="4">
        <v>-391609761.30287105</v>
      </c>
      <c r="CA74" s="4">
        <v>-391609761.30287105</v>
      </c>
      <c r="CB74" s="4">
        <v>-391609761.30287105</v>
      </c>
      <c r="CC74" s="4">
        <v>-391609761.30287105</v>
      </c>
      <c r="CD74" s="4">
        <v>-391609761.30287105</v>
      </c>
      <c r="CE74" s="4">
        <v>-391609761.30287105</v>
      </c>
      <c r="CF74" s="4">
        <v>-391609761.30287105</v>
      </c>
      <c r="CG74" s="4">
        <v>-391609761.30287105</v>
      </c>
      <c r="CH74" s="4">
        <v>-391609761.30287105</v>
      </c>
      <c r="CI74" s="4">
        <v>-391609761.30287105</v>
      </c>
      <c r="CJ74" s="35">
        <v>-391609761.30287105</v>
      </c>
      <c r="CK74" s="4">
        <v>-391609761.30287105</v>
      </c>
      <c r="CL74" s="35">
        <v>-391609761.30287105</v>
      </c>
      <c r="CM74" s="4">
        <v>-391609761.30287105</v>
      </c>
      <c r="CN74" s="4">
        <v>-391609761.30287105</v>
      </c>
      <c r="CO74" s="4">
        <v>-391609761.30287105</v>
      </c>
      <c r="CP74" s="4">
        <v>-391609761.30287105</v>
      </c>
      <c r="CQ74" s="4">
        <v>-391609761.30287105</v>
      </c>
      <c r="CR74" s="4">
        <v>-391609761.30287105</v>
      </c>
      <c r="CS74" s="4">
        <v>-391609761.30287105</v>
      </c>
    </row>
    <row r="75" spans="1:97" x14ac:dyDescent="0.25">
      <c r="A75" t="s">
        <v>89</v>
      </c>
      <c r="B75" s="2" t="s">
        <v>90</v>
      </c>
      <c r="C75" s="23">
        <v>-777961475.63862169</v>
      </c>
      <c r="D75" s="4">
        <v>-777961475.63862169</v>
      </c>
      <c r="E75" s="4">
        <v>-777961475.63862169</v>
      </c>
      <c r="F75" s="4">
        <v>-777961475.63862169</v>
      </c>
      <c r="G75" s="4">
        <v>-777961475.63862169</v>
      </c>
      <c r="H75" s="4">
        <v>-777961475.63862169</v>
      </c>
      <c r="I75" s="4">
        <v>-777961475.63862169</v>
      </c>
      <c r="J75" s="4">
        <v>-777961475.63862169</v>
      </c>
      <c r="K75" s="4">
        <v>-777961475.63862169</v>
      </c>
      <c r="L75" s="23">
        <v>-777961475.63862169</v>
      </c>
      <c r="M75" s="4">
        <v>-777961475.63862169</v>
      </c>
      <c r="N75" s="4">
        <v>-777961475.63862169</v>
      </c>
      <c r="O75" s="23">
        <v>-777961475.63862169</v>
      </c>
      <c r="P75" s="4">
        <v>-777961475.63862169</v>
      </c>
      <c r="Q75" s="4">
        <v>-741913220.97793519</v>
      </c>
      <c r="R75" s="4">
        <v>-741913220.97793519</v>
      </c>
      <c r="S75" s="4">
        <v>-741913220.97793519</v>
      </c>
      <c r="T75" s="23">
        <v>-741913220.97793519</v>
      </c>
      <c r="U75" s="39">
        <v>-741913220.97793519</v>
      </c>
      <c r="V75" s="39">
        <v>-741913220.97793519</v>
      </c>
      <c r="W75" s="39">
        <v>-741913220.97793519</v>
      </c>
      <c r="X75" s="39">
        <v>-741913220.97793519</v>
      </c>
      <c r="Y75" s="23">
        <v>-741913220.97793519</v>
      </c>
      <c r="Z75" s="39">
        <v>-741913220.97793519</v>
      </c>
      <c r="AA75" s="39">
        <v>-741913220.97793519</v>
      </c>
      <c r="AB75" s="39">
        <v>-741913220.97793519</v>
      </c>
      <c r="AC75" s="39">
        <v>-741913220.97793519</v>
      </c>
      <c r="AD75" s="4">
        <v>-741913220.97793519</v>
      </c>
      <c r="AE75" s="4">
        <v>-741913220.97793519</v>
      </c>
      <c r="AF75" s="4">
        <v>-903567640.64817309</v>
      </c>
      <c r="AG75" s="4">
        <v>-903567640.64817309</v>
      </c>
      <c r="AH75" s="4">
        <v>-903567640.64817309</v>
      </c>
      <c r="AI75" s="4">
        <v>-903567640.64817309</v>
      </c>
      <c r="AJ75" s="23">
        <v>-903567640.64817309</v>
      </c>
      <c r="AK75" s="39">
        <v>-903567640.64817309</v>
      </c>
      <c r="AL75" s="39">
        <v>-903567640.64817309</v>
      </c>
      <c r="AM75" s="39">
        <v>-903567640.64817309</v>
      </c>
      <c r="AN75" s="39">
        <v>-903567640.64817309</v>
      </c>
      <c r="AO75" s="4">
        <v>-903567640.64817309</v>
      </c>
      <c r="AP75" s="23">
        <v>-903567640.64817309</v>
      </c>
      <c r="AQ75" s="4">
        <v>-903567640.64817309</v>
      </c>
      <c r="AR75" s="4">
        <v>-903567640.64817309</v>
      </c>
      <c r="AS75" s="4">
        <v>-903567640.64817309</v>
      </c>
      <c r="AT75" s="4">
        <v>-903567640.64817309</v>
      </c>
      <c r="AU75" s="4">
        <v>-903567640.64817309</v>
      </c>
      <c r="AV75" s="23">
        <v>-903567640.64817309</v>
      </c>
      <c r="AW75" s="4">
        <v>-903567640.64817309</v>
      </c>
      <c r="AX75" s="4">
        <v>-903567640.64817309</v>
      </c>
      <c r="AY75" s="4">
        <v>-903567640.64817309</v>
      </c>
      <c r="AZ75" s="4">
        <v>-903567640.64817309</v>
      </c>
      <c r="BA75" s="4">
        <v>-903567640.64817309</v>
      </c>
      <c r="BB75" s="23">
        <v>-903567640.64817309</v>
      </c>
      <c r="BC75" s="4">
        <v>-903567640.64817309</v>
      </c>
      <c r="BD75" s="4">
        <v>-903567640.64817309</v>
      </c>
      <c r="BE75" s="4">
        <v>-903567640.64817309</v>
      </c>
      <c r="BF75" s="4">
        <v>-903567640.64817309</v>
      </c>
      <c r="BG75" s="4">
        <v>-727550853.34205127</v>
      </c>
      <c r="BH75" s="4">
        <v>-727550853.34205127</v>
      </c>
      <c r="BI75" s="23">
        <v>-727550853.34205127</v>
      </c>
      <c r="BJ75" s="35">
        <v>-727550853.34205127</v>
      </c>
      <c r="BK75" s="4">
        <v>-727550853.34205127</v>
      </c>
      <c r="BL75" s="35">
        <v>-727550853.34205127</v>
      </c>
      <c r="BM75" s="4">
        <v>-727550853.34205127</v>
      </c>
      <c r="BN75" s="4">
        <v>-727550853.34205127</v>
      </c>
      <c r="BO75" s="4">
        <v>-727550853.34205127</v>
      </c>
      <c r="BP75" s="4">
        <v>-727550853.34205127</v>
      </c>
      <c r="BQ75" s="35">
        <v>-727550853.34205127</v>
      </c>
      <c r="BR75" s="4">
        <v>-727550853.34205127</v>
      </c>
      <c r="BS75" s="35">
        <v>-727550853.34205127</v>
      </c>
      <c r="BT75" s="4">
        <v>-727550853.34205127</v>
      </c>
      <c r="BU75" s="4">
        <v>-727550853.34205127</v>
      </c>
      <c r="BV75" s="4">
        <v>-727550853.34205127</v>
      </c>
      <c r="BW75" s="4">
        <v>-727550853.34205127</v>
      </c>
      <c r="BX75" s="4">
        <v>-727550853.34205127</v>
      </c>
      <c r="BY75" s="4">
        <v>-727550853.34205127</v>
      </c>
      <c r="BZ75" s="4">
        <v>-727550853.34205127</v>
      </c>
      <c r="CA75" s="4">
        <v>-727550853.34205127</v>
      </c>
      <c r="CB75" s="4">
        <v>-727550853.34205127</v>
      </c>
      <c r="CC75" s="4">
        <v>-727550853.34205127</v>
      </c>
      <c r="CD75" s="4">
        <v>-727550853.34205127</v>
      </c>
      <c r="CE75" s="4">
        <v>-727550853.34205127</v>
      </c>
      <c r="CF75" s="4">
        <v>-727550853.34205127</v>
      </c>
      <c r="CG75" s="4">
        <v>-727550853.34205127</v>
      </c>
      <c r="CH75" s="4">
        <v>-727550853.34205127</v>
      </c>
      <c r="CI75" s="4">
        <v>-727550853.34205127</v>
      </c>
      <c r="CJ75" s="35">
        <v>-727550853.34205127</v>
      </c>
      <c r="CK75" s="4">
        <v>-727550853.34205127</v>
      </c>
      <c r="CL75" s="35">
        <v>-727550853.34205127</v>
      </c>
      <c r="CM75" s="4">
        <v>-727550853.34205127</v>
      </c>
      <c r="CN75" s="4">
        <v>-727550853.34205127</v>
      </c>
      <c r="CO75" s="4">
        <v>-727550853.34205127</v>
      </c>
      <c r="CP75" s="4">
        <v>-727550853.34205127</v>
      </c>
      <c r="CQ75" s="4">
        <v>-727550853.34205127</v>
      </c>
      <c r="CR75" s="4">
        <v>-727550853.34205127</v>
      </c>
      <c r="CS75" s="4">
        <v>-727550853.34205127</v>
      </c>
    </row>
    <row r="76" spans="1:97" x14ac:dyDescent="0.25">
      <c r="C76" s="23"/>
      <c r="D76" s="4"/>
      <c r="E76" s="4"/>
      <c r="F76" s="4"/>
      <c r="G76" s="4"/>
      <c r="H76" s="4"/>
      <c r="I76" s="4"/>
      <c r="J76" s="4"/>
      <c r="K76" s="4"/>
      <c r="L76" s="23"/>
      <c r="M76" s="4"/>
      <c r="N76" s="4"/>
      <c r="O76" s="23"/>
      <c r="P76" s="4"/>
      <c r="Q76" s="4"/>
      <c r="R76" s="4"/>
      <c r="S76" s="4"/>
      <c r="T76" s="23"/>
      <c r="U76" s="39"/>
      <c r="V76" s="39"/>
      <c r="W76" s="39"/>
      <c r="X76" s="39"/>
      <c r="Y76" s="23"/>
      <c r="Z76" s="39"/>
      <c r="AA76" s="39"/>
      <c r="AB76" s="39"/>
      <c r="AC76" s="39"/>
      <c r="AD76" s="4"/>
      <c r="AE76" s="4"/>
      <c r="AF76" s="4"/>
      <c r="AG76" s="4"/>
      <c r="AH76" s="4"/>
      <c r="AI76" s="4"/>
      <c r="AJ76" s="23"/>
      <c r="AK76" s="39"/>
      <c r="AL76" s="39"/>
      <c r="AM76" s="39"/>
      <c r="AN76" s="39"/>
      <c r="AO76" s="4"/>
      <c r="AP76" s="23"/>
      <c r="AQ76" s="4"/>
      <c r="AR76" s="4"/>
      <c r="AS76" s="4"/>
      <c r="AT76" s="4"/>
      <c r="AU76" s="4"/>
      <c r="AV76" s="23"/>
      <c r="AW76" s="4"/>
      <c r="AX76" s="4"/>
      <c r="AY76" s="4"/>
      <c r="AZ76" s="4"/>
      <c r="BA76" s="4"/>
      <c r="BB76" s="23"/>
      <c r="BC76" s="4"/>
      <c r="BD76" s="4"/>
      <c r="BE76" s="4"/>
      <c r="BF76" s="4"/>
      <c r="BG76" s="4"/>
      <c r="BH76" s="4"/>
      <c r="BI76" s="23"/>
      <c r="BJ76" s="35"/>
      <c r="BK76" s="4"/>
      <c r="BL76" s="35"/>
      <c r="BM76" s="4"/>
      <c r="BN76" s="4"/>
      <c r="BO76" s="4"/>
      <c r="BP76" s="4"/>
      <c r="BQ76" s="35"/>
      <c r="BR76" s="4"/>
      <c r="BS76" s="35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35"/>
      <c r="CK76" s="4"/>
      <c r="CL76" s="35"/>
      <c r="CM76" s="4"/>
      <c r="CN76" s="4"/>
      <c r="CO76" s="4"/>
      <c r="CP76" s="4"/>
      <c r="CQ76" s="4"/>
      <c r="CR76" s="4"/>
      <c r="CS76" s="4"/>
    </row>
    <row r="77" spans="1:97" x14ac:dyDescent="0.25">
      <c r="A77" s="1" t="s">
        <v>91</v>
      </c>
      <c r="B77" s="2" t="s">
        <v>92</v>
      </c>
      <c r="C77" s="23"/>
      <c r="D77" s="4"/>
      <c r="E77" s="4"/>
      <c r="F77" s="4"/>
      <c r="G77" s="4"/>
      <c r="H77" s="4"/>
      <c r="I77" s="4"/>
      <c r="J77" s="4"/>
      <c r="K77" s="4"/>
      <c r="L77" s="23"/>
      <c r="M77" s="4"/>
      <c r="N77" s="4"/>
      <c r="O77" s="23"/>
      <c r="P77" s="4"/>
      <c r="Q77" s="4"/>
      <c r="R77" s="4"/>
      <c r="S77" s="4"/>
      <c r="T77" s="23"/>
      <c r="U77" s="39"/>
      <c r="V77" s="39"/>
      <c r="W77" s="39"/>
      <c r="X77" s="39"/>
      <c r="Y77" s="23"/>
      <c r="Z77" s="39"/>
      <c r="AA77" s="39"/>
      <c r="AB77" s="39"/>
      <c r="AC77" s="39"/>
      <c r="AD77" s="4"/>
      <c r="AE77" s="4"/>
      <c r="AF77" s="4"/>
      <c r="AG77" s="4"/>
      <c r="AH77" s="4"/>
      <c r="AI77" s="4"/>
      <c r="AJ77" s="23"/>
      <c r="AK77" s="39"/>
      <c r="AL77" s="39"/>
      <c r="AM77" s="39"/>
      <c r="AN77" s="39"/>
      <c r="AO77" s="4"/>
      <c r="AP77" s="23"/>
      <c r="AQ77" s="4"/>
      <c r="AR77" s="4"/>
      <c r="AS77" s="4"/>
      <c r="AT77" s="4"/>
      <c r="AU77" s="4"/>
      <c r="AV77" s="23"/>
      <c r="AW77" s="4"/>
      <c r="AX77" s="4"/>
      <c r="AY77" s="4"/>
      <c r="AZ77" s="4"/>
      <c r="BA77" s="4"/>
      <c r="BB77" s="23"/>
      <c r="BC77" s="4"/>
      <c r="BD77" s="4"/>
      <c r="BE77" s="4"/>
      <c r="BF77" s="4"/>
      <c r="BG77" s="4"/>
      <c r="BH77" s="4"/>
      <c r="BI77" s="23"/>
      <c r="BJ77" s="35"/>
      <c r="BK77" s="4"/>
      <c r="BL77" s="35"/>
      <c r="BM77" s="4"/>
      <c r="BN77" s="4"/>
      <c r="BO77" s="4"/>
      <c r="BP77" s="4"/>
      <c r="BQ77" s="35"/>
      <c r="BR77" s="4"/>
      <c r="BS77" s="35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35"/>
      <c r="CK77" s="4"/>
      <c r="CL77" s="35"/>
      <c r="CM77" s="4"/>
      <c r="CN77" s="4"/>
      <c r="CO77" s="4"/>
      <c r="CP77" s="4"/>
      <c r="CQ77" s="4"/>
      <c r="CR77" s="4"/>
      <c r="CS77" s="4"/>
    </row>
    <row r="78" spans="1:97" x14ac:dyDescent="0.25">
      <c r="A78" t="s">
        <v>93</v>
      </c>
      <c r="B78" s="2"/>
      <c r="C78" s="23">
        <v>3337768.8699999996</v>
      </c>
      <c r="D78" s="4">
        <v>3337768.8699999996</v>
      </c>
      <c r="E78" s="4">
        <v>3337768.8699999996</v>
      </c>
      <c r="F78" s="4">
        <v>3337768.8699999996</v>
      </c>
      <c r="G78" s="4">
        <v>3337768.8699999996</v>
      </c>
      <c r="H78" s="4">
        <v>3337768.8699999996</v>
      </c>
      <c r="I78" s="4">
        <v>3337768.8699999996</v>
      </c>
      <c r="J78" s="4">
        <v>3337768.8699999996</v>
      </c>
      <c r="K78" s="4">
        <v>3337768.8699999996</v>
      </c>
      <c r="L78" s="23">
        <v>3337768.8699999996</v>
      </c>
      <c r="M78" s="4">
        <v>3337768.8699999996</v>
      </c>
      <c r="N78" s="4">
        <v>3337768.8699999996</v>
      </c>
      <c r="O78" s="23">
        <v>3337768.8699999996</v>
      </c>
      <c r="P78" s="4">
        <v>3337768.8699999996</v>
      </c>
      <c r="Q78" s="4">
        <v>724045</v>
      </c>
      <c r="R78" s="4">
        <v>724045</v>
      </c>
      <c r="S78" s="4">
        <v>724045</v>
      </c>
      <c r="T78" s="23">
        <v>724045</v>
      </c>
      <c r="U78" s="39">
        <v>724045</v>
      </c>
      <c r="V78" s="39">
        <v>724045</v>
      </c>
      <c r="W78" s="39">
        <v>724045</v>
      </c>
      <c r="X78" s="39">
        <v>724045</v>
      </c>
      <c r="Y78" s="23">
        <v>724045</v>
      </c>
      <c r="Z78" s="39">
        <v>724045</v>
      </c>
      <c r="AA78" s="39">
        <v>724045</v>
      </c>
      <c r="AB78" s="39">
        <v>724045</v>
      </c>
      <c r="AC78" s="39">
        <v>724045</v>
      </c>
      <c r="AD78" s="4">
        <v>724045</v>
      </c>
      <c r="AE78" s="4">
        <v>724045</v>
      </c>
      <c r="AF78" s="4">
        <v>4264603.5419999994</v>
      </c>
      <c r="AG78" s="4">
        <v>4264603.5419999994</v>
      </c>
      <c r="AH78" s="4">
        <v>4264603.5419999994</v>
      </c>
      <c r="AI78" s="4">
        <v>4264603.5419999994</v>
      </c>
      <c r="AJ78" s="23">
        <v>4264603.5419999994</v>
      </c>
      <c r="AK78" s="39">
        <v>4264603.5419999994</v>
      </c>
      <c r="AL78" s="39">
        <v>4264603.5419999994</v>
      </c>
      <c r="AM78" s="39">
        <v>4264603.5419999994</v>
      </c>
      <c r="AN78" s="39">
        <v>4264603.5419999994</v>
      </c>
      <c r="AO78" s="4">
        <v>4264603.5419999994</v>
      </c>
      <c r="AP78" s="23">
        <v>4264603.5419999994</v>
      </c>
      <c r="AQ78" s="4">
        <v>4264603.5419999994</v>
      </c>
      <c r="AR78" s="4">
        <v>4264603.5419999994</v>
      </c>
      <c r="AS78" s="4">
        <v>4264603.5419999994</v>
      </c>
      <c r="AT78" s="4">
        <v>4264603.5419999994</v>
      </c>
      <c r="AU78" s="4">
        <v>4264603.5419999994</v>
      </c>
      <c r="AV78" s="23">
        <v>4264603.5419999994</v>
      </c>
      <c r="AW78" s="4">
        <v>4264603.5419999994</v>
      </c>
      <c r="AX78" s="4">
        <v>4264603.5419999994</v>
      </c>
      <c r="AY78" s="4">
        <v>4264603.5419999994</v>
      </c>
      <c r="AZ78" s="4">
        <v>4264603.5419999994</v>
      </c>
      <c r="BA78" s="4">
        <v>4264603.5419999994</v>
      </c>
      <c r="BB78" s="23">
        <v>4264603.5419999994</v>
      </c>
      <c r="BC78" s="4">
        <v>4264603.5419999994</v>
      </c>
      <c r="BD78" s="4">
        <v>4264603.5419999994</v>
      </c>
      <c r="BE78" s="4">
        <v>4264603.5419999994</v>
      </c>
      <c r="BF78" s="4">
        <v>4264603.5419999994</v>
      </c>
      <c r="BG78" s="4">
        <v>0</v>
      </c>
      <c r="BH78" s="4">
        <v>0</v>
      </c>
      <c r="BI78" s="23">
        <v>0</v>
      </c>
      <c r="BJ78" s="35">
        <v>0</v>
      </c>
      <c r="BK78" s="4">
        <v>0</v>
      </c>
      <c r="BL78" s="35">
        <v>0</v>
      </c>
      <c r="BM78" s="4">
        <v>0</v>
      </c>
      <c r="BN78" s="4">
        <v>0</v>
      </c>
      <c r="BO78" s="4">
        <v>0</v>
      </c>
      <c r="BP78" s="4">
        <v>0</v>
      </c>
      <c r="BQ78" s="35">
        <v>0</v>
      </c>
      <c r="BR78" s="4">
        <v>0</v>
      </c>
      <c r="BS78" s="35">
        <v>0</v>
      </c>
      <c r="BT78" s="4">
        <v>0</v>
      </c>
      <c r="BU78" s="4">
        <v>0</v>
      </c>
      <c r="BV78" s="4">
        <v>0</v>
      </c>
      <c r="BW78" s="4">
        <v>0</v>
      </c>
      <c r="BX78" s="4">
        <v>0</v>
      </c>
      <c r="BY78" s="4">
        <v>0</v>
      </c>
      <c r="BZ78" s="4">
        <v>0</v>
      </c>
      <c r="CA78" s="4">
        <v>0</v>
      </c>
      <c r="CB78" s="4">
        <v>0</v>
      </c>
      <c r="CC78" s="4">
        <v>0</v>
      </c>
      <c r="CD78" s="4">
        <v>0</v>
      </c>
      <c r="CE78" s="4">
        <v>0</v>
      </c>
      <c r="CF78" s="4">
        <v>0</v>
      </c>
      <c r="CG78" s="4">
        <v>0</v>
      </c>
      <c r="CH78" s="4">
        <v>0</v>
      </c>
      <c r="CI78" s="4">
        <v>0</v>
      </c>
      <c r="CJ78" s="35">
        <v>0</v>
      </c>
      <c r="CK78" s="4">
        <v>0</v>
      </c>
      <c r="CL78" s="35">
        <v>0</v>
      </c>
      <c r="CM78" s="4">
        <v>0</v>
      </c>
      <c r="CN78" s="4">
        <v>0</v>
      </c>
      <c r="CO78" s="4">
        <v>0</v>
      </c>
      <c r="CP78" s="4">
        <v>0</v>
      </c>
      <c r="CQ78" s="4">
        <v>0</v>
      </c>
      <c r="CR78" s="4">
        <v>0</v>
      </c>
      <c r="CS78" s="4">
        <v>0</v>
      </c>
    </row>
    <row r="79" spans="1:97" x14ac:dyDescent="0.25">
      <c r="A79" t="s">
        <v>94</v>
      </c>
      <c r="B79" s="2"/>
      <c r="C79" s="23">
        <v>469642.14</v>
      </c>
      <c r="D79" s="4">
        <v>469642.14</v>
      </c>
      <c r="E79" s="4">
        <v>469642.14</v>
      </c>
      <c r="F79" s="4">
        <v>469642.14</v>
      </c>
      <c r="G79" s="4">
        <v>469642.14</v>
      </c>
      <c r="H79" s="4">
        <v>469642.14</v>
      </c>
      <c r="I79" s="4">
        <v>469642.14</v>
      </c>
      <c r="J79" s="4">
        <v>469642.14</v>
      </c>
      <c r="K79" s="4">
        <v>469642.14</v>
      </c>
      <c r="L79" s="23">
        <v>469642.14</v>
      </c>
      <c r="M79" s="4">
        <v>469642.14</v>
      </c>
      <c r="N79" s="4">
        <v>469642.14</v>
      </c>
      <c r="O79" s="23">
        <v>469642.14</v>
      </c>
      <c r="P79" s="4">
        <v>469642.14</v>
      </c>
      <c r="Q79" s="4">
        <v>247456.71329313001</v>
      </c>
      <c r="R79" s="4">
        <v>247456.71329313001</v>
      </c>
      <c r="S79" s="4">
        <v>247456.71329313001</v>
      </c>
      <c r="T79" s="23">
        <v>247456.71329313001</v>
      </c>
      <c r="U79" s="39">
        <v>247456.71329313001</v>
      </c>
      <c r="V79" s="39">
        <v>247456.71329313001</v>
      </c>
      <c r="W79" s="39">
        <v>247456.71329313001</v>
      </c>
      <c r="X79" s="39">
        <v>247456.71329313001</v>
      </c>
      <c r="Y79" s="23">
        <v>247456.71329313001</v>
      </c>
      <c r="Z79" s="39">
        <v>247456.71329313001</v>
      </c>
      <c r="AA79" s="39">
        <v>247456.71329313001</v>
      </c>
      <c r="AB79" s="39">
        <v>247456.71329313001</v>
      </c>
      <c r="AC79" s="39">
        <v>247456.71329313001</v>
      </c>
      <c r="AD79" s="4">
        <v>247456.71329313001</v>
      </c>
      <c r="AE79" s="4">
        <v>247456.71329313001</v>
      </c>
      <c r="AF79" s="4">
        <v>57861.514107184499</v>
      </c>
      <c r="AG79" s="4">
        <v>57861.514107184499</v>
      </c>
      <c r="AH79" s="4">
        <v>57861.514107184499</v>
      </c>
      <c r="AI79" s="4">
        <v>57861.514107184499</v>
      </c>
      <c r="AJ79" s="23">
        <v>57861.514107184499</v>
      </c>
      <c r="AK79" s="39">
        <v>57861.514107184499</v>
      </c>
      <c r="AL79" s="39">
        <v>57861.514107184499</v>
      </c>
      <c r="AM79" s="39">
        <v>57861.514107184499</v>
      </c>
      <c r="AN79" s="39">
        <v>57861.514107184499</v>
      </c>
      <c r="AO79" s="4">
        <v>57861.514107184499</v>
      </c>
      <c r="AP79" s="23">
        <v>57861.514107184499</v>
      </c>
      <c r="AQ79" s="4">
        <v>57861.514107184499</v>
      </c>
      <c r="AR79" s="4">
        <v>57861.514107184499</v>
      </c>
      <c r="AS79" s="4">
        <v>57861.514107184499</v>
      </c>
      <c r="AT79" s="4">
        <v>57861.514107184499</v>
      </c>
      <c r="AU79" s="4">
        <v>57861.514107184499</v>
      </c>
      <c r="AV79" s="23">
        <v>57861.514107184499</v>
      </c>
      <c r="AW79" s="4">
        <v>57861.514107184499</v>
      </c>
      <c r="AX79" s="4">
        <v>57861.514107184499</v>
      </c>
      <c r="AY79" s="4">
        <v>57861.514107184499</v>
      </c>
      <c r="AZ79" s="4">
        <v>57861.514107184499</v>
      </c>
      <c r="BA79" s="4">
        <v>57861.514107184499</v>
      </c>
      <c r="BB79" s="23">
        <v>57861.514107184499</v>
      </c>
      <c r="BC79" s="4">
        <v>57861.514107184499</v>
      </c>
      <c r="BD79" s="4">
        <v>57861.514107184499</v>
      </c>
      <c r="BE79" s="4">
        <v>57861.514107184499</v>
      </c>
      <c r="BF79" s="4">
        <v>57861.514107184499</v>
      </c>
      <c r="BG79" s="4">
        <v>5315560.5701789996</v>
      </c>
      <c r="BH79" s="4">
        <v>5315560.5701789996</v>
      </c>
      <c r="BI79" s="23">
        <v>5315560.5701789996</v>
      </c>
      <c r="BJ79" s="35">
        <v>5315560.5701789996</v>
      </c>
      <c r="BK79" s="4">
        <v>5315560.5701789996</v>
      </c>
      <c r="BL79" s="35">
        <v>5315560.5701789996</v>
      </c>
      <c r="BM79" s="4">
        <v>5315560.5701789996</v>
      </c>
      <c r="BN79" s="4">
        <v>5315560.5701789996</v>
      </c>
      <c r="BO79" s="4">
        <v>5315560.5701789996</v>
      </c>
      <c r="BP79" s="4">
        <v>5315560.5701789996</v>
      </c>
      <c r="BQ79" s="35">
        <v>5315560.5701789996</v>
      </c>
      <c r="BR79" s="4">
        <v>5315560.5701789996</v>
      </c>
      <c r="BS79" s="35">
        <v>5315560.5701789996</v>
      </c>
      <c r="BT79" s="4">
        <v>5315560.5701789996</v>
      </c>
      <c r="BU79" s="4">
        <v>5315560.5701789996</v>
      </c>
      <c r="BV79" s="4">
        <v>5315560.5701789996</v>
      </c>
      <c r="BW79" s="4">
        <v>5315560.5701789996</v>
      </c>
      <c r="BX79" s="4">
        <v>5315560.5701789996</v>
      </c>
      <c r="BY79" s="4">
        <v>5315560.5701789996</v>
      </c>
      <c r="BZ79" s="4">
        <v>5315560.5701789996</v>
      </c>
      <c r="CA79" s="4">
        <v>5315560.5701789996</v>
      </c>
      <c r="CB79" s="4">
        <v>5315560.5701789996</v>
      </c>
      <c r="CC79" s="4">
        <v>5315560.5701789996</v>
      </c>
      <c r="CD79" s="4">
        <v>5315560.5701789996</v>
      </c>
      <c r="CE79" s="4">
        <v>5315560.5701789996</v>
      </c>
      <c r="CF79" s="4">
        <v>5315560.5701789996</v>
      </c>
      <c r="CG79" s="4">
        <v>5315560.5701789996</v>
      </c>
      <c r="CH79" s="4">
        <v>5315560.5701789996</v>
      </c>
      <c r="CI79" s="4">
        <v>5315560.5701789996</v>
      </c>
      <c r="CJ79" s="35">
        <v>5315560.5701789996</v>
      </c>
      <c r="CK79" s="4">
        <v>5315560.5701789996</v>
      </c>
      <c r="CL79" s="35">
        <v>5315560.5701789996</v>
      </c>
      <c r="CM79" s="4">
        <v>5315560.5701789996</v>
      </c>
      <c r="CN79" s="4">
        <v>5315560.5701789996</v>
      </c>
      <c r="CO79" s="4">
        <v>5315560.5701789996</v>
      </c>
      <c r="CP79" s="4">
        <v>5315560.5701789996</v>
      </c>
      <c r="CQ79" s="4">
        <v>5315560.5701789996</v>
      </c>
      <c r="CR79" s="4">
        <v>5315560.5701789996</v>
      </c>
      <c r="CS79" s="4">
        <v>5315560.5701789996</v>
      </c>
    </row>
    <row r="80" spans="1:97" x14ac:dyDescent="0.25">
      <c r="A80" t="s">
        <v>95</v>
      </c>
      <c r="B80" s="2"/>
      <c r="C80" s="23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  <c r="L80" s="23">
        <v>0</v>
      </c>
      <c r="M80" s="4">
        <v>0</v>
      </c>
      <c r="N80" s="4">
        <v>0</v>
      </c>
      <c r="O80" s="23">
        <v>0</v>
      </c>
      <c r="P80" s="4">
        <v>0</v>
      </c>
      <c r="Q80" s="4">
        <v>0</v>
      </c>
      <c r="R80" s="4">
        <v>0</v>
      </c>
      <c r="S80" s="4">
        <v>0</v>
      </c>
      <c r="T80" s="23">
        <v>0</v>
      </c>
      <c r="U80" s="39">
        <v>0</v>
      </c>
      <c r="V80" s="39">
        <v>0</v>
      </c>
      <c r="W80" s="39">
        <v>0</v>
      </c>
      <c r="X80" s="39">
        <v>0</v>
      </c>
      <c r="Y80" s="23">
        <v>0</v>
      </c>
      <c r="Z80" s="39">
        <v>0</v>
      </c>
      <c r="AA80" s="39">
        <v>0</v>
      </c>
      <c r="AB80" s="39">
        <v>0</v>
      </c>
      <c r="AC80" s="39">
        <v>0</v>
      </c>
      <c r="AD80" s="4">
        <v>0</v>
      </c>
      <c r="AE80" s="4">
        <v>0</v>
      </c>
      <c r="AF80" s="4">
        <v>84582403.617034003</v>
      </c>
      <c r="AG80" s="4">
        <v>84582403.617034003</v>
      </c>
      <c r="AH80" s="4">
        <v>84582403.617034003</v>
      </c>
      <c r="AI80" s="4">
        <v>84582403.617034003</v>
      </c>
      <c r="AJ80" s="23">
        <v>84582403.617034003</v>
      </c>
      <c r="AK80" s="39">
        <v>84582403.617034003</v>
      </c>
      <c r="AL80" s="39">
        <v>84582403.617034003</v>
      </c>
      <c r="AM80" s="39">
        <v>84582403.617034003</v>
      </c>
      <c r="AN80" s="39">
        <v>84582403.617034003</v>
      </c>
      <c r="AO80" s="4">
        <v>84582403.617034003</v>
      </c>
      <c r="AP80" s="23">
        <v>84582403.617034003</v>
      </c>
      <c r="AQ80" s="4">
        <v>84582403.617034003</v>
      </c>
      <c r="AR80" s="4">
        <v>84582403.617034003</v>
      </c>
      <c r="AS80" s="4">
        <v>84582403.617034003</v>
      </c>
      <c r="AT80" s="4">
        <v>84582403.617034003</v>
      </c>
      <c r="AU80" s="4">
        <v>84582403.617034003</v>
      </c>
      <c r="AV80" s="23">
        <v>84582403.617034003</v>
      </c>
      <c r="AW80" s="4">
        <v>84582403.617034003</v>
      </c>
      <c r="AX80" s="4">
        <v>84582403.617034003</v>
      </c>
      <c r="AY80" s="4">
        <v>84582403.617034003</v>
      </c>
      <c r="AZ80" s="4">
        <v>84582403.617034003</v>
      </c>
      <c r="BA80" s="4">
        <v>84582403.617034003</v>
      </c>
      <c r="BB80" s="23">
        <v>84582403.617034003</v>
      </c>
      <c r="BC80" s="4">
        <v>84582403.617034003</v>
      </c>
      <c r="BD80" s="4">
        <v>84582403.617034003</v>
      </c>
      <c r="BE80" s="4">
        <v>84582403.617034003</v>
      </c>
      <c r="BF80" s="4">
        <v>84582403.617034003</v>
      </c>
      <c r="BG80" s="4">
        <v>9635608.2643294986</v>
      </c>
      <c r="BH80" s="4">
        <v>9635608.2643294986</v>
      </c>
      <c r="BI80" s="23">
        <v>9635608.2643294986</v>
      </c>
      <c r="BJ80" s="35">
        <v>9635608.2643294986</v>
      </c>
      <c r="BK80" s="4">
        <v>9635608.2643294986</v>
      </c>
      <c r="BL80" s="35">
        <v>9635608.2643294986</v>
      </c>
      <c r="BM80" s="4">
        <v>9635608.2643294986</v>
      </c>
      <c r="BN80" s="4">
        <v>9635608.2643294986</v>
      </c>
      <c r="BO80" s="4">
        <v>9635608.2643294986</v>
      </c>
      <c r="BP80" s="4">
        <v>9635608.2643294986</v>
      </c>
      <c r="BQ80" s="35">
        <v>9635608.2643294986</v>
      </c>
      <c r="BR80" s="4">
        <v>9635608.2643294986</v>
      </c>
      <c r="BS80" s="35">
        <v>9635608.2643294986</v>
      </c>
      <c r="BT80" s="4">
        <v>9635608.2643294986</v>
      </c>
      <c r="BU80" s="4">
        <v>9635608.2643294986</v>
      </c>
      <c r="BV80" s="4">
        <v>9635608.2643294986</v>
      </c>
      <c r="BW80" s="4">
        <v>9635608.2643294986</v>
      </c>
      <c r="BX80" s="4">
        <v>9635608.2643294986</v>
      </c>
      <c r="BY80" s="4">
        <v>9635608.2643294986</v>
      </c>
      <c r="BZ80" s="4">
        <v>9635608.2643294986</v>
      </c>
      <c r="CA80" s="4">
        <v>9635608.2643294986</v>
      </c>
      <c r="CB80" s="4">
        <v>9635608.2643294986</v>
      </c>
      <c r="CC80" s="4">
        <v>9635608.2643294986</v>
      </c>
      <c r="CD80" s="4">
        <v>9635608.2643294986</v>
      </c>
      <c r="CE80" s="4">
        <v>9635608.2643294986</v>
      </c>
      <c r="CF80" s="4">
        <v>9635608.2643294986</v>
      </c>
      <c r="CG80" s="4">
        <v>9635608.2643294986</v>
      </c>
      <c r="CH80" s="4">
        <v>9635608.2643294986</v>
      </c>
      <c r="CI80" s="4">
        <v>9635608.2643294986</v>
      </c>
      <c r="CJ80" s="35">
        <v>9635608.2643294986</v>
      </c>
      <c r="CK80" s="4">
        <v>9635608.2643294986</v>
      </c>
      <c r="CL80" s="35">
        <v>9635608.2643294986</v>
      </c>
      <c r="CM80" s="4">
        <v>9635608.2643294986</v>
      </c>
      <c r="CN80" s="4">
        <v>9635608.2643294986</v>
      </c>
      <c r="CO80" s="4">
        <v>9635608.2643294986</v>
      </c>
      <c r="CP80" s="4">
        <v>9635608.2643294986</v>
      </c>
      <c r="CQ80" s="4">
        <v>9635608.2643294986</v>
      </c>
      <c r="CR80" s="4">
        <v>9635608.2643294986</v>
      </c>
      <c r="CS80" s="4">
        <v>9635608.2643294986</v>
      </c>
    </row>
    <row r="81" spans="1:97" x14ac:dyDescent="0.25">
      <c r="A81" t="s">
        <v>96</v>
      </c>
      <c r="B81" s="2"/>
      <c r="C81" s="23">
        <v>0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23">
        <v>0</v>
      </c>
      <c r="M81" s="4">
        <v>0</v>
      </c>
      <c r="N81" s="4">
        <v>0</v>
      </c>
      <c r="O81" s="23">
        <v>0</v>
      </c>
      <c r="P81" s="4">
        <v>0</v>
      </c>
      <c r="Q81" s="4">
        <v>0</v>
      </c>
      <c r="R81" s="4">
        <v>0</v>
      </c>
      <c r="S81" s="4">
        <v>0</v>
      </c>
      <c r="T81" s="23">
        <v>0</v>
      </c>
      <c r="U81" s="39">
        <v>0</v>
      </c>
      <c r="V81" s="39">
        <v>0</v>
      </c>
      <c r="W81" s="39">
        <v>0</v>
      </c>
      <c r="X81" s="39">
        <v>0</v>
      </c>
      <c r="Y81" s="23">
        <v>0</v>
      </c>
      <c r="Z81" s="39">
        <v>0</v>
      </c>
      <c r="AA81" s="39">
        <v>0</v>
      </c>
      <c r="AB81" s="39">
        <v>0</v>
      </c>
      <c r="AC81" s="39">
        <v>0</v>
      </c>
      <c r="AD81" s="4">
        <v>0</v>
      </c>
      <c r="AE81" s="4">
        <v>0</v>
      </c>
      <c r="AF81" s="4">
        <v>0</v>
      </c>
      <c r="AG81" s="4">
        <v>0</v>
      </c>
      <c r="AH81" s="4">
        <v>0</v>
      </c>
      <c r="AI81" s="4">
        <v>0</v>
      </c>
      <c r="AJ81" s="23">
        <v>0</v>
      </c>
      <c r="AK81" s="39">
        <v>0</v>
      </c>
      <c r="AL81" s="39">
        <v>0</v>
      </c>
      <c r="AM81" s="39">
        <v>0</v>
      </c>
      <c r="AN81" s="39">
        <v>0</v>
      </c>
      <c r="AO81" s="4">
        <v>0</v>
      </c>
      <c r="AP81" s="23">
        <v>0</v>
      </c>
      <c r="AQ81" s="4">
        <v>0</v>
      </c>
      <c r="AR81" s="4">
        <v>0</v>
      </c>
      <c r="AS81" s="4">
        <v>0</v>
      </c>
      <c r="AT81" s="4">
        <v>0</v>
      </c>
      <c r="AU81" s="4">
        <v>0</v>
      </c>
      <c r="AV81" s="23">
        <v>0</v>
      </c>
      <c r="AW81" s="4">
        <v>0</v>
      </c>
      <c r="AX81" s="4">
        <v>0</v>
      </c>
      <c r="AY81" s="4">
        <v>0</v>
      </c>
      <c r="AZ81" s="4">
        <v>0</v>
      </c>
      <c r="BA81" s="4">
        <v>0</v>
      </c>
      <c r="BB81" s="23">
        <v>0</v>
      </c>
      <c r="BC81" s="4">
        <v>0</v>
      </c>
      <c r="BD81" s="4">
        <v>0</v>
      </c>
      <c r="BE81" s="4">
        <v>0</v>
      </c>
      <c r="BF81" s="4">
        <v>0</v>
      </c>
      <c r="BG81" s="4">
        <v>0</v>
      </c>
      <c r="BH81" s="4">
        <v>0</v>
      </c>
      <c r="BI81" s="23">
        <v>0</v>
      </c>
      <c r="BJ81" s="35">
        <v>0</v>
      </c>
      <c r="BK81" s="4">
        <v>0</v>
      </c>
      <c r="BL81" s="35">
        <v>0</v>
      </c>
      <c r="BM81" s="4">
        <v>0</v>
      </c>
      <c r="BN81" s="4">
        <v>0</v>
      </c>
      <c r="BO81" s="4">
        <v>0</v>
      </c>
      <c r="BP81" s="4">
        <v>0</v>
      </c>
      <c r="BQ81" s="35">
        <v>0</v>
      </c>
      <c r="BR81" s="4">
        <v>0</v>
      </c>
      <c r="BS81" s="35">
        <v>0</v>
      </c>
      <c r="BT81" s="4">
        <v>0</v>
      </c>
      <c r="BU81" s="4">
        <v>0</v>
      </c>
      <c r="BV81" s="4">
        <v>0</v>
      </c>
      <c r="BW81" s="4">
        <v>0</v>
      </c>
      <c r="BX81" s="4">
        <v>0</v>
      </c>
      <c r="BY81" s="4">
        <v>0</v>
      </c>
      <c r="BZ81" s="4">
        <v>0</v>
      </c>
      <c r="CA81" s="4">
        <v>0</v>
      </c>
      <c r="CB81" s="4">
        <v>0</v>
      </c>
      <c r="CC81" s="4">
        <v>0</v>
      </c>
      <c r="CD81" s="4">
        <v>0</v>
      </c>
      <c r="CE81" s="4">
        <v>0</v>
      </c>
      <c r="CF81" s="4">
        <v>0</v>
      </c>
      <c r="CG81" s="4">
        <v>0</v>
      </c>
      <c r="CH81" s="4">
        <v>0</v>
      </c>
      <c r="CI81" s="4">
        <v>0</v>
      </c>
      <c r="CJ81" s="35">
        <v>0</v>
      </c>
      <c r="CK81" s="4">
        <v>0</v>
      </c>
      <c r="CL81" s="35">
        <v>0</v>
      </c>
      <c r="CM81" s="4">
        <v>0</v>
      </c>
      <c r="CN81" s="4">
        <v>0</v>
      </c>
      <c r="CO81" s="4">
        <v>0</v>
      </c>
      <c r="CP81" s="4">
        <v>0</v>
      </c>
      <c r="CQ81" s="4">
        <v>0</v>
      </c>
      <c r="CR81" s="4">
        <v>0</v>
      </c>
      <c r="CS81" s="4">
        <v>0</v>
      </c>
    </row>
    <row r="82" spans="1:97" x14ac:dyDescent="0.25">
      <c r="A82" t="s">
        <v>97</v>
      </c>
      <c r="B82" s="2"/>
      <c r="C82" s="23">
        <v>257518481.5</v>
      </c>
      <c r="D82" s="4">
        <v>257518481.5</v>
      </c>
      <c r="E82" s="4">
        <v>257518481.5</v>
      </c>
      <c r="F82" s="4">
        <v>257518481.5</v>
      </c>
      <c r="G82" s="4">
        <v>257518481.5</v>
      </c>
      <c r="H82" s="4">
        <v>257518481.5</v>
      </c>
      <c r="I82" s="4">
        <v>257518481.5</v>
      </c>
      <c r="J82" s="4">
        <v>257518481.5</v>
      </c>
      <c r="K82" s="4">
        <v>257518481.5</v>
      </c>
      <c r="L82" s="23">
        <v>257518481.5</v>
      </c>
      <c r="M82" s="4">
        <v>257518481.5</v>
      </c>
      <c r="N82" s="4">
        <v>257518481.5</v>
      </c>
      <c r="O82" s="23">
        <v>257518481.5</v>
      </c>
      <c r="P82" s="4">
        <v>257518481.5</v>
      </c>
      <c r="Q82" s="4">
        <v>2758783</v>
      </c>
      <c r="R82" s="4">
        <v>2758783</v>
      </c>
      <c r="S82" s="4">
        <v>2758783</v>
      </c>
      <c r="T82" s="23">
        <v>2758783</v>
      </c>
      <c r="U82" s="39">
        <v>2758783</v>
      </c>
      <c r="V82" s="39">
        <v>2758783</v>
      </c>
      <c r="W82" s="39">
        <v>2758783</v>
      </c>
      <c r="X82" s="39">
        <v>2758783</v>
      </c>
      <c r="Y82" s="23">
        <v>2758783</v>
      </c>
      <c r="Z82" s="39">
        <v>2758783</v>
      </c>
      <c r="AA82" s="39">
        <v>2758783</v>
      </c>
      <c r="AB82" s="39">
        <v>2758783</v>
      </c>
      <c r="AC82" s="39">
        <v>2758783</v>
      </c>
      <c r="AD82" s="4">
        <v>2758783</v>
      </c>
      <c r="AE82" s="4">
        <v>2758783</v>
      </c>
      <c r="AF82" s="4">
        <v>164763.54</v>
      </c>
      <c r="AG82" s="4">
        <v>164763.54</v>
      </c>
      <c r="AH82" s="4">
        <v>164763.54</v>
      </c>
      <c r="AI82" s="4">
        <v>164763.54</v>
      </c>
      <c r="AJ82" s="23">
        <v>164763.54</v>
      </c>
      <c r="AK82" s="39">
        <v>164763.54</v>
      </c>
      <c r="AL82" s="39">
        <v>164763.54</v>
      </c>
      <c r="AM82" s="39">
        <v>164763.54</v>
      </c>
      <c r="AN82" s="39">
        <v>164763.54</v>
      </c>
      <c r="AO82" s="4">
        <v>164763.54</v>
      </c>
      <c r="AP82" s="23">
        <v>164763.54</v>
      </c>
      <c r="AQ82" s="4">
        <v>164763.54</v>
      </c>
      <c r="AR82" s="4">
        <v>164763.54</v>
      </c>
      <c r="AS82" s="4">
        <v>164763.54</v>
      </c>
      <c r="AT82" s="4">
        <v>164763.54</v>
      </c>
      <c r="AU82" s="4">
        <v>164763.54</v>
      </c>
      <c r="AV82" s="23">
        <v>164763.54</v>
      </c>
      <c r="AW82" s="4">
        <v>164763.54</v>
      </c>
      <c r="AX82" s="4">
        <v>164763.54</v>
      </c>
      <c r="AY82" s="4">
        <v>164763.54</v>
      </c>
      <c r="AZ82" s="4">
        <v>164763.54</v>
      </c>
      <c r="BA82" s="4">
        <v>164763.54</v>
      </c>
      <c r="BB82" s="23">
        <v>164763.54</v>
      </c>
      <c r="BC82" s="4">
        <v>164763.54</v>
      </c>
      <c r="BD82" s="4">
        <v>164763.54</v>
      </c>
      <c r="BE82" s="4">
        <v>164763.54</v>
      </c>
      <c r="BF82" s="4">
        <v>164763.54</v>
      </c>
      <c r="BG82" s="4">
        <v>0</v>
      </c>
      <c r="BH82" s="4">
        <v>0</v>
      </c>
      <c r="BI82" s="23">
        <v>0</v>
      </c>
      <c r="BJ82" s="35">
        <v>0</v>
      </c>
      <c r="BK82" s="4">
        <v>0</v>
      </c>
      <c r="BL82" s="35">
        <v>0</v>
      </c>
      <c r="BM82" s="4">
        <v>0</v>
      </c>
      <c r="BN82" s="4">
        <v>0</v>
      </c>
      <c r="BO82" s="4">
        <v>0</v>
      </c>
      <c r="BP82" s="4">
        <v>0</v>
      </c>
      <c r="BQ82" s="35">
        <v>0</v>
      </c>
      <c r="BR82" s="4">
        <v>0</v>
      </c>
      <c r="BS82" s="35">
        <v>0</v>
      </c>
      <c r="BT82" s="4">
        <v>0</v>
      </c>
      <c r="BU82" s="4">
        <v>0</v>
      </c>
      <c r="BV82" s="4">
        <v>0</v>
      </c>
      <c r="BW82" s="4">
        <v>0</v>
      </c>
      <c r="BX82" s="4">
        <v>0</v>
      </c>
      <c r="BY82" s="4">
        <v>0</v>
      </c>
      <c r="BZ82" s="4">
        <v>0</v>
      </c>
      <c r="CA82" s="4">
        <v>0</v>
      </c>
      <c r="CB82" s="4">
        <v>0</v>
      </c>
      <c r="CC82" s="4">
        <v>0</v>
      </c>
      <c r="CD82" s="4">
        <v>0</v>
      </c>
      <c r="CE82" s="4">
        <v>0</v>
      </c>
      <c r="CF82" s="4">
        <v>0</v>
      </c>
      <c r="CG82" s="4">
        <v>0</v>
      </c>
      <c r="CH82" s="4">
        <v>0</v>
      </c>
      <c r="CI82" s="4">
        <v>0</v>
      </c>
      <c r="CJ82" s="35">
        <v>0</v>
      </c>
      <c r="CK82" s="4">
        <v>0</v>
      </c>
      <c r="CL82" s="35">
        <v>0</v>
      </c>
      <c r="CM82" s="4">
        <v>0</v>
      </c>
      <c r="CN82" s="4">
        <v>0</v>
      </c>
      <c r="CO82" s="4">
        <v>0</v>
      </c>
      <c r="CP82" s="4">
        <v>0</v>
      </c>
      <c r="CQ82" s="4">
        <v>0</v>
      </c>
      <c r="CR82" s="4">
        <v>0</v>
      </c>
      <c r="CS82" s="4">
        <v>0</v>
      </c>
    </row>
    <row r="83" spans="1:97" x14ac:dyDescent="0.25">
      <c r="A83" t="s">
        <v>98</v>
      </c>
      <c r="B83" s="2"/>
      <c r="C83" s="23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23">
        <v>0</v>
      </c>
      <c r="M83" s="4">
        <v>0</v>
      </c>
      <c r="N83" s="4">
        <v>0</v>
      </c>
      <c r="O83" s="23">
        <v>0</v>
      </c>
      <c r="P83" s="4">
        <v>0</v>
      </c>
      <c r="Q83" s="4">
        <v>0</v>
      </c>
      <c r="R83" s="4">
        <v>0</v>
      </c>
      <c r="S83" s="4">
        <v>0</v>
      </c>
      <c r="T83" s="23">
        <v>0</v>
      </c>
      <c r="U83" s="39">
        <v>0</v>
      </c>
      <c r="V83" s="39">
        <v>0</v>
      </c>
      <c r="W83" s="39">
        <v>0</v>
      </c>
      <c r="X83" s="39">
        <v>0</v>
      </c>
      <c r="Y83" s="23">
        <v>0</v>
      </c>
      <c r="Z83" s="39">
        <v>0</v>
      </c>
      <c r="AA83" s="39">
        <v>0</v>
      </c>
      <c r="AB83" s="39">
        <v>0</v>
      </c>
      <c r="AC83" s="39">
        <v>0</v>
      </c>
      <c r="AD83" s="4">
        <v>0</v>
      </c>
      <c r="AE83" s="4">
        <v>0</v>
      </c>
      <c r="AF83" s="4">
        <v>0</v>
      </c>
      <c r="AG83" s="4">
        <v>0</v>
      </c>
      <c r="AH83" s="4">
        <v>0</v>
      </c>
      <c r="AI83" s="4">
        <v>0</v>
      </c>
      <c r="AJ83" s="23">
        <v>0</v>
      </c>
      <c r="AK83" s="39">
        <v>0</v>
      </c>
      <c r="AL83" s="39">
        <v>0</v>
      </c>
      <c r="AM83" s="39">
        <v>0</v>
      </c>
      <c r="AN83" s="39">
        <v>0</v>
      </c>
      <c r="AO83" s="4">
        <v>0</v>
      </c>
      <c r="AP83" s="23">
        <v>0</v>
      </c>
      <c r="AQ83" s="4">
        <v>0</v>
      </c>
      <c r="AR83" s="4">
        <v>0</v>
      </c>
      <c r="AS83" s="4">
        <v>0</v>
      </c>
      <c r="AT83" s="4">
        <v>0</v>
      </c>
      <c r="AU83" s="4">
        <v>0</v>
      </c>
      <c r="AV83" s="23">
        <v>0</v>
      </c>
      <c r="AW83" s="4">
        <v>0</v>
      </c>
      <c r="AX83" s="4">
        <v>0</v>
      </c>
      <c r="AY83" s="4">
        <v>0</v>
      </c>
      <c r="AZ83" s="4">
        <v>0</v>
      </c>
      <c r="BA83" s="4">
        <v>0</v>
      </c>
      <c r="BB83" s="23">
        <v>0</v>
      </c>
      <c r="BC83" s="4">
        <v>0</v>
      </c>
      <c r="BD83" s="4">
        <v>0</v>
      </c>
      <c r="BE83" s="4">
        <v>0</v>
      </c>
      <c r="BF83" s="4">
        <v>0</v>
      </c>
      <c r="BG83" s="4">
        <v>0</v>
      </c>
      <c r="BH83" s="4">
        <v>0</v>
      </c>
      <c r="BI83" s="23">
        <v>0</v>
      </c>
      <c r="BJ83" s="35">
        <v>0</v>
      </c>
      <c r="BK83" s="4">
        <v>0</v>
      </c>
      <c r="BL83" s="35">
        <v>0</v>
      </c>
      <c r="BM83" s="4">
        <v>0</v>
      </c>
      <c r="BN83" s="4">
        <v>0</v>
      </c>
      <c r="BO83" s="4">
        <v>0</v>
      </c>
      <c r="BP83" s="4">
        <v>0</v>
      </c>
      <c r="BQ83" s="35">
        <v>0</v>
      </c>
      <c r="BR83" s="4">
        <v>0</v>
      </c>
      <c r="BS83" s="35">
        <v>0</v>
      </c>
      <c r="BT83" s="4">
        <v>0</v>
      </c>
      <c r="BU83" s="4">
        <v>0</v>
      </c>
      <c r="BV83" s="4">
        <v>0</v>
      </c>
      <c r="BW83" s="4">
        <v>0</v>
      </c>
      <c r="BX83" s="4">
        <v>0</v>
      </c>
      <c r="BY83" s="4">
        <v>0</v>
      </c>
      <c r="BZ83" s="4">
        <v>0</v>
      </c>
      <c r="CA83" s="4">
        <v>0</v>
      </c>
      <c r="CB83" s="4">
        <v>0</v>
      </c>
      <c r="CC83" s="4">
        <v>0</v>
      </c>
      <c r="CD83" s="4">
        <v>0</v>
      </c>
      <c r="CE83" s="4">
        <v>0</v>
      </c>
      <c r="CF83" s="4">
        <v>0</v>
      </c>
      <c r="CG83" s="4">
        <v>0</v>
      </c>
      <c r="CH83" s="4">
        <v>0</v>
      </c>
      <c r="CI83" s="4">
        <v>0</v>
      </c>
      <c r="CJ83" s="35">
        <v>0</v>
      </c>
      <c r="CK83" s="4">
        <v>0</v>
      </c>
      <c r="CL83" s="35">
        <v>0</v>
      </c>
      <c r="CM83" s="4">
        <v>0</v>
      </c>
      <c r="CN83" s="4">
        <v>0</v>
      </c>
      <c r="CO83" s="4">
        <v>0</v>
      </c>
      <c r="CP83" s="4">
        <v>0</v>
      </c>
      <c r="CQ83" s="4">
        <v>0</v>
      </c>
      <c r="CR83" s="4">
        <v>0</v>
      </c>
      <c r="CS83" s="4">
        <v>0</v>
      </c>
    </row>
    <row r="84" spans="1:97" x14ac:dyDescent="0.25">
      <c r="A84" t="s">
        <v>99</v>
      </c>
      <c r="B84" s="2"/>
      <c r="C84" s="23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  <c r="L84" s="23">
        <v>0</v>
      </c>
      <c r="M84" s="4">
        <v>0</v>
      </c>
      <c r="N84" s="4">
        <v>0</v>
      </c>
      <c r="O84" s="23">
        <v>0</v>
      </c>
      <c r="P84" s="4">
        <v>0</v>
      </c>
      <c r="Q84" s="4">
        <v>0</v>
      </c>
      <c r="R84" s="4">
        <v>0</v>
      </c>
      <c r="S84" s="4">
        <v>0</v>
      </c>
      <c r="T84" s="23">
        <v>0</v>
      </c>
      <c r="U84" s="39">
        <v>0</v>
      </c>
      <c r="V84" s="39">
        <v>0</v>
      </c>
      <c r="W84" s="39">
        <v>0</v>
      </c>
      <c r="X84" s="39">
        <v>0</v>
      </c>
      <c r="Y84" s="23">
        <v>0</v>
      </c>
      <c r="Z84" s="39">
        <v>0</v>
      </c>
      <c r="AA84" s="39">
        <v>0</v>
      </c>
      <c r="AB84" s="39">
        <v>0</v>
      </c>
      <c r="AC84" s="39">
        <v>0</v>
      </c>
      <c r="AD84" s="43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23">
        <v>0</v>
      </c>
      <c r="AK84" s="39">
        <v>0</v>
      </c>
      <c r="AL84" s="39">
        <v>0</v>
      </c>
      <c r="AM84" s="39">
        <v>0</v>
      </c>
      <c r="AN84" s="39">
        <v>0</v>
      </c>
      <c r="AO84" s="4">
        <v>0</v>
      </c>
      <c r="AP84" s="23">
        <v>0</v>
      </c>
      <c r="AQ84" s="4">
        <v>0</v>
      </c>
      <c r="AR84" s="4">
        <v>0</v>
      </c>
      <c r="AS84" s="4">
        <v>0</v>
      </c>
      <c r="AT84" s="4">
        <v>0</v>
      </c>
      <c r="AU84" s="4">
        <v>0</v>
      </c>
      <c r="AV84" s="23">
        <v>0</v>
      </c>
      <c r="AW84" s="4">
        <v>0</v>
      </c>
      <c r="AX84" s="4">
        <v>0</v>
      </c>
      <c r="AY84" s="4">
        <v>0</v>
      </c>
      <c r="AZ84" s="4">
        <v>0</v>
      </c>
      <c r="BA84" s="4">
        <v>0</v>
      </c>
      <c r="BB84" s="23">
        <v>0</v>
      </c>
      <c r="BC84" s="4">
        <v>0</v>
      </c>
      <c r="BD84" s="4">
        <v>0</v>
      </c>
      <c r="BE84" s="4">
        <v>0</v>
      </c>
      <c r="BF84" s="43">
        <v>0</v>
      </c>
      <c r="BG84" s="4">
        <v>0</v>
      </c>
      <c r="BH84" s="4">
        <v>0</v>
      </c>
      <c r="BI84" s="23">
        <v>0</v>
      </c>
      <c r="BJ84" s="35">
        <v>0</v>
      </c>
      <c r="BK84" s="4">
        <v>0</v>
      </c>
      <c r="BL84" s="35">
        <v>0</v>
      </c>
      <c r="BM84" s="4">
        <v>0</v>
      </c>
      <c r="BN84" s="4">
        <v>0</v>
      </c>
      <c r="BO84" s="4">
        <v>0</v>
      </c>
      <c r="BP84" s="4">
        <v>0</v>
      </c>
      <c r="BQ84" s="35">
        <v>0</v>
      </c>
      <c r="BR84" s="4">
        <v>0</v>
      </c>
      <c r="BS84" s="35">
        <v>0</v>
      </c>
      <c r="BT84" s="4">
        <v>0</v>
      </c>
      <c r="BU84" s="4">
        <v>0</v>
      </c>
      <c r="BV84" s="4">
        <v>0</v>
      </c>
      <c r="BW84" s="4">
        <v>0</v>
      </c>
      <c r="BX84" s="4">
        <v>0</v>
      </c>
      <c r="BY84" s="4">
        <v>0</v>
      </c>
      <c r="BZ84" s="4">
        <v>0</v>
      </c>
      <c r="CA84" s="4">
        <v>0</v>
      </c>
      <c r="CB84" s="4">
        <v>0</v>
      </c>
      <c r="CC84" s="4">
        <v>0</v>
      </c>
      <c r="CD84" s="4">
        <v>0</v>
      </c>
      <c r="CE84" s="4">
        <v>0</v>
      </c>
      <c r="CF84" s="4">
        <v>0</v>
      </c>
      <c r="CG84" s="4">
        <v>0</v>
      </c>
      <c r="CH84" s="4">
        <v>0</v>
      </c>
      <c r="CI84" s="4">
        <v>0</v>
      </c>
      <c r="CJ84" s="35">
        <v>0</v>
      </c>
      <c r="CK84" s="4">
        <v>0</v>
      </c>
      <c r="CL84" s="35">
        <v>0</v>
      </c>
      <c r="CM84" s="4">
        <v>0</v>
      </c>
      <c r="CN84" s="4">
        <v>0</v>
      </c>
      <c r="CO84" s="4">
        <v>0</v>
      </c>
      <c r="CP84" s="4">
        <v>0</v>
      </c>
      <c r="CQ84" s="4">
        <v>0</v>
      </c>
      <c r="CR84" s="4">
        <v>0</v>
      </c>
      <c r="CS84" s="4">
        <v>0</v>
      </c>
    </row>
    <row r="85" spans="1:97" x14ac:dyDescent="0.25">
      <c r="A85" s="5" t="s">
        <v>100</v>
      </c>
      <c r="B85" s="2"/>
      <c r="C85" s="23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  <c r="L85" s="23">
        <v>0</v>
      </c>
      <c r="M85" s="4">
        <v>0</v>
      </c>
      <c r="N85" s="4">
        <v>0</v>
      </c>
      <c r="O85" s="23">
        <v>0</v>
      </c>
      <c r="P85" s="4">
        <v>0</v>
      </c>
      <c r="Q85" s="4">
        <v>0</v>
      </c>
      <c r="R85" s="4">
        <v>0</v>
      </c>
      <c r="S85" s="4">
        <v>0</v>
      </c>
      <c r="T85" s="23">
        <v>0</v>
      </c>
      <c r="U85" s="39">
        <v>0</v>
      </c>
      <c r="V85" s="39">
        <v>0</v>
      </c>
      <c r="W85" s="39">
        <v>0</v>
      </c>
      <c r="X85" s="39">
        <v>0</v>
      </c>
      <c r="Y85" s="23">
        <v>0</v>
      </c>
      <c r="Z85" s="39">
        <v>0</v>
      </c>
      <c r="AA85" s="39">
        <v>0</v>
      </c>
      <c r="AB85" s="39">
        <v>0</v>
      </c>
      <c r="AC85" s="39">
        <v>0</v>
      </c>
      <c r="AD85" s="43">
        <v>0</v>
      </c>
      <c r="AE85" s="4">
        <v>0</v>
      </c>
      <c r="AF85" s="4">
        <v>0</v>
      </c>
      <c r="AG85" s="4">
        <v>0</v>
      </c>
      <c r="AH85" s="4">
        <v>0</v>
      </c>
      <c r="AI85" s="4">
        <v>0</v>
      </c>
      <c r="AJ85" s="23">
        <v>0</v>
      </c>
      <c r="AK85" s="39">
        <v>0</v>
      </c>
      <c r="AL85" s="39">
        <v>0</v>
      </c>
      <c r="AM85" s="39">
        <v>0</v>
      </c>
      <c r="AN85" s="39">
        <v>0</v>
      </c>
      <c r="AO85" s="4">
        <v>0</v>
      </c>
      <c r="AP85" s="23">
        <v>0</v>
      </c>
      <c r="AQ85" s="4">
        <v>0</v>
      </c>
      <c r="AR85" s="4">
        <v>0</v>
      </c>
      <c r="AS85" s="4">
        <v>0</v>
      </c>
      <c r="AT85" s="4">
        <v>0</v>
      </c>
      <c r="AU85" s="4">
        <v>0</v>
      </c>
      <c r="AV85" s="23">
        <v>0</v>
      </c>
      <c r="AW85" s="4">
        <v>0</v>
      </c>
      <c r="AX85" s="4">
        <v>0</v>
      </c>
      <c r="AY85" s="4">
        <v>0</v>
      </c>
      <c r="AZ85" s="4">
        <v>0</v>
      </c>
      <c r="BA85" s="4">
        <v>0</v>
      </c>
      <c r="BB85" s="23">
        <v>0</v>
      </c>
      <c r="BC85" s="4">
        <v>0</v>
      </c>
      <c r="BD85" s="4">
        <v>0</v>
      </c>
      <c r="BE85" s="4">
        <v>0</v>
      </c>
      <c r="BF85" s="43">
        <v>0</v>
      </c>
      <c r="BG85" s="4">
        <v>0</v>
      </c>
      <c r="BH85" s="4">
        <v>0</v>
      </c>
      <c r="BI85" s="23">
        <v>0</v>
      </c>
      <c r="BJ85" s="35">
        <v>0</v>
      </c>
      <c r="BK85" s="4">
        <v>0</v>
      </c>
      <c r="BL85" s="35">
        <v>0</v>
      </c>
      <c r="BM85" s="4">
        <v>0</v>
      </c>
      <c r="BN85" s="4">
        <v>0</v>
      </c>
      <c r="BO85" s="4">
        <v>0</v>
      </c>
      <c r="BP85" s="4">
        <v>0</v>
      </c>
      <c r="BQ85" s="35">
        <v>0</v>
      </c>
      <c r="BR85" s="4">
        <v>0</v>
      </c>
      <c r="BS85" s="35">
        <v>0</v>
      </c>
      <c r="BT85" s="4">
        <v>0</v>
      </c>
      <c r="BU85" s="4">
        <v>0</v>
      </c>
      <c r="BV85" s="4">
        <v>0</v>
      </c>
      <c r="BW85" s="4">
        <v>0</v>
      </c>
      <c r="BX85" s="4">
        <v>0</v>
      </c>
      <c r="BY85" s="4">
        <v>0</v>
      </c>
      <c r="BZ85" s="4">
        <v>0</v>
      </c>
      <c r="CA85" s="4">
        <v>0</v>
      </c>
      <c r="CB85" s="4">
        <v>0</v>
      </c>
      <c r="CC85" s="4">
        <v>0</v>
      </c>
      <c r="CD85" s="4">
        <v>0</v>
      </c>
      <c r="CE85" s="4">
        <v>0</v>
      </c>
      <c r="CF85" s="4">
        <v>0</v>
      </c>
      <c r="CG85" s="4">
        <v>0</v>
      </c>
      <c r="CH85" s="4">
        <v>0</v>
      </c>
      <c r="CI85" s="4">
        <v>0</v>
      </c>
      <c r="CJ85" s="35">
        <v>0</v>
      </c>
      <c r="CK85" s="4">
        <v>0</v>
      </c>
      <c r="CL85" s="35">
        <v>0</v>
      </c>
      <c r="CM85" s="4">
        <v>0</v>
      </c>
      <c r="CN85" s="4">
        <v>0</v>
      </c>
      <c r="CO85" s="4">
        <v>0</v>
      </c>
      <c r="CP85" s="4">
        <v>0</v>
      </c>
      <c r="CQ85" s="4">
        <v>0</v>
      </c>
      <c r="CR85" s="4">
        <v>0</v>
      </c>
      <c r="CS85" s="4">
        <v>0</v>
      </c>
    </row>
    <row r="86" spans="1:97" x14ac:dyDescent="0.25">
      <c r="A86" t="s">
        <v>101</v>
      </c>
      <c r="B86" s="2"/>
      <c r="C86" s="23">
        <v>29452868.026666667</v>
      </c>
      <c r="D86" s="4">
        <v>29452868.026666667</v>
      </c>
      <c r="E86" s="4">
        <v>29452868.026666667</v>
      </c>
      <c r="F86" s="4">
        <v>29452868.026666667</v>
      </c>
      <c r="G86" s="4">
        <v>29452868.026666667</v>
      </c>
      <c r="H86" s="4">
        <v>29452868.026666667</v>
      </c>
      <c r="I86" s="4">
        <v>29452868.026666667</v>
      </c>
      <c r="J86" s="4">
        <v>29452868.026666667</v>
      </c>
      <c r="K86" s="4">
        <v>29452868.026666667</v>
      </c>
      <c r="L86" s="23">
        <v>29452868.026666667</v>
      </c>
      <c r="M86" s="4">
        <v>29452868.026666667</v>
      </c>
      <c r="N86" s="4">
        <v>29452868.026666667</v>
      </c>
      <c r="O86" s="23">
        <v>29452868.026666667</v>
      </c>
      <c r="P86" s="4">
        <v>29452868.026666667</v>
      </c>
      <c r="Q86" s="4">
        <v>3492972.2850000001</v>
      </c>
      <c r="R86" s="4">
        <v>3492972.2850000001</v>
      </c>
      <c r="S86" s="4">
        <v>3492972.2850000001</v>
      </c>
      <c r="T86" s="23">
        <v>3492972.2850000001</v>
      </c>
      <c r="U86" s="39">
        <v>3492972.2850000001</v>
      </c>
      <c r="V86" s="39">
        <v>3492972.2850000001</v>
      </c>
      <c r="W86" s="39">
        <v>3492972.2850000001</v>
      </c>
      <c r="X86" s="39">
        <v>3492972.2850000001</v>
      </c>
      <c r="Y86" s="23">
        <v>3492972.2850000001</v>
      </c>
      <c r="Z86" s="39">
        <v>3492972.2850000001</v>
      </c>
      <c r="AA86" s="39">
        <v>3492972.2850000001</v>
      </c>
      <c r="AB86" s="39">
        <v>3492972.2850000001</v>
      </c>
      <c r="AC86" s="39">
        <v>3492972.2850000001</v>
      </c>
      <c r="AD86" s="4">
        <v>3492972.2850000001</v>
      </c>
      <c r="AE86" s="4">
        <v>3492972.2850000001</v>
      </c>
      <c r="AF86" s="4">
        <v>31981500.7925</v>
      </c>
      <c r="AG86" s="4">
        <v>31981500.7925</v>
      </c>
      <c r="AH86" s="4">
        <v>31981500.7925</v>
      </c>
      <c r="AI86" s="4">
        <v>31981500.7925</v>
      </c>
      <c r="AJ86" s="23">
        <v>31981500.7925</v>
      </c>
      <c r="AK86" s="39">
        <v>31981500.7925</v>
      </c>
      <c r="AL86" s="39">
        <v>31981500.7925</v>
      </c>
      <c r="AM86" s="39">
        <v>31981500.7925</v>
      </c>
      <c r="AN86" s="39">
        <v>31981500.7925</v>
      </c>
      <c r="AO86" s="4">
        <v>31981500.7925</v>
      </c>
      <c r="AP86" s="23">
        <v>31981500.7925</v>
      </c>
      <c r="AQ86" s="4">
        <v>31981500.7925</v>
      </c>
      <c r="AR86" s="4">
        <v>31981500.7925</v>
      </c>
      <c r="AS86" s="4">
        <v>31981500.7925</v>
      </c>
      <c r="AT86" s="4">
        <v>31981500.7925</v>
      </c>
      <c r="AU86" s="4">
        <v>31981500.7925</v>
      </c>
      <c r="AV86" s="23">
        <v>31981500.7925</v>
      </c>
      <c r="AW86" s="4">
        <v>31981500.7925</v>
      </c>
      <c r="AX86" s="4">
        <v>31981500.7925</v>
      </c>
      <c r="AY86" s="4">
        <v>31981500.7925</v>
      </c>
      <c r="AZ86" s="4">
        <v>31981500.7925</v>
      </c>
      <c r="BA86" s="4">
        <v>31981500.7925</v>
      </c>
      <c r="BB86" s="23">
        <v>31981500.7925</v>
      </c>
      <c r="BC86" s="4">
        <v>31981500.7925</v>
      </c>
      <c r="BD86" s="4">
        <v>31981500.7925</v>
      </c>
      <c r="BE86" s="4">
        <v>31981500.7925</v>
      </c>
      <c r="BF86" s="4">
        <v>31981500.7925</v>
      </c>
      <c r="BG86" s="4">
        <v>2783888.2150000003</v>
      </c>
      <c r="BH86" s="4">
        <v>2783888.2150000003</v>
      </c>
      <c r="BI86" s="23">
        <v>2783888.2150000003</v>
      </c>
      <c r="BJ86" s="35">
        <v>2783888.2150000003</v>
      </c>
      <c r="BK86" s="4">
        <v>2783888.2150000003</v>
      </c>
      <c r="BL86" s="35">
        <v>2783888.2150000003</v>
      </c>
      <c r="BM86" s="4">
        <v>2783888.2150000003</v>
      </c>
      <c r="BN86" s="4">
        <v>2783888.2150000003</v>
      </c>
      <c r="BO86" s="4">
        <v>2783888.2150000003</v>
      </c>
      <c r="BP86" s="4">
        <v>2783888.2150000003</v>
      </c>
      <c r="BQ86" s="35">
        <v>2783888.2150000003</v>
      </c>
      <c r="BR86" s="4">
        <v>2783888.2150000003</v>
      </c>
      <c r="BS86" s="35">
        <v>2783888.2150000003</v>
      </c>
      <c r="BT86" s="4">
        <v>2783888.2150000003</v>
      </c>
      <c r="BU86" s="4">
        <v>2783888.2150000003</v>
      </c>
      <c r="BV86" s="4">
        <v>2783888.2150000003</v>
      </c>
      <c r="BW86" s="4">
        <v>2783888.2150000003</v>
      </c>
      <c r="BX86" s="4">
        <v>2783888.2150000003</v>
      </c>
      <c r="BY86" s="4">
        <v>2783888.2150000003</v>
      </c>
      <c r="BZ86" s="4">
        <v>2783888.2150000003</v>
      </c>
      <c r="CA86" s="4">
        <v>2783888.2150000003</v>
      </c>
      <c r="CB86" s="4">
        <v>2783888.2150000003</v>
      </c>
      <c r="CC86" s="4">
        <v>2783888.2150000003</v>
      </c>
      <c r="CD86" s="4">
        <v>2783888.2150000003</v>
      </c>
      <c r="CE86" s="4">
        <v>2783888.2150000003</v>
      </c>
      <c r="CF86" s="4">
        <v>2783888.2150000003</v>
      </c>
      <c r="CG86" s="4">
        <v>2783888.2150000003</v>
      </c>
      <c r="CH86" s="4">
        <v>2783888.2150000003</v>
      </c>
      <c r="CI86" s="4">
        <v>2783888.2150000003</v>
      </c>
      <c r="CJ86" s="35">
        <v>2783888.2150000003</v>
      </c>
      <c r="CK86" s="4">
        <v>2783888.2150000003</v>
      </c>
      <c r="CL86" s="35">
        <v>2783888.2150000003</v>
      </c>
      <c r="CM86" s="4">
        <v>2783888.2150000003</v>
      </c>
      <c r="CN86" s="4">
        <v>2783888.2150000003</v>
      </c>
      <c r="CO86" s="4">
        <v>2783888.2150000003</v>
      </c>
      <c r="CP86" s="4">
        <v>2783888.2150000003</v>
      </c>
      <c r="CQ86" s="4">
        <v>2783888.2150000003</v>
      </c>
      <c r="CR86" s="4">
        <v>2783888.2150000003</v>
      </c>
      <c r="CS86" s="4">
        <v>2783888.2150000003</v>
      </c>
    </row>
    <row r="87" spans="1:97" x14ac:dyDescent="0.25">
      <c r="A87" t="s">
        <v>102</v>
      </c>
      <c r="C87" s="23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  <c r="L87" s="23">
        <v>0</v>
      </c>
      <c r="M87" s="4">
        <v>0</v>
      </c>
      <c r="N87" s="4">
        <v>0</v>
      </c>
      <c r="O87" s="23">
        <v>0</v>
      </c>
      <c r="P87" s="4">
        <v>0</v>
      </c>
      <c r="Q87" s="4">
        <v>0</v>
      </c>
      <c r="R87" s="4">
        <v>0</v>
      </c>
      <c r="S87" s="4">
        <v>0</v>
      </c>
      <c r="T87" s="23">
        <v>0</v>
      </c>
      <c r="U87" s="39">
        <v>0</v>
      </c>
      <c r="V87" s="39">
        <v>0</v>
      </c>
      <c r="W87" s="39">
        <v>0</v>
      </c>
      <c r="X87" s="39">
        <v>0</v>
      </c>
      <c r="Y87" s="23">
        <v>0</v>
      </c>
      <c r="Z87" s="39">
        <v>0</v>
      </c>
      <c r="AA87" s="39">
        <v>0</v>
      </c>
      <c r="AB87" s="39">
        <v>0</v>
      </c>
      <c r="AC87" s="39">
        <v>0</v>
      </c>
      <c r="AD87" s="4">
        <v>0</v>
      </c>
      <c r="AE87" s="4">
        <v>0</v>
      </c>
      <c r="AF87" s="4">
        <v>0</v>
      </c>
      <c r="AG87" s="4">
        <v>0</v>
      </c>
      <c r="AH87" s="4">
        <v>0</v>
      </c>
      <c r="AI87" s="4">
        <v>0</v>
      </c>
      <c r="AJ87" s="23">
        <v>0</v>
      </c>
      <c r="AK87" s="39">
        <v>0</v>
      </c>
      <c r="AL87" s="39">
        <v>0</v>
      </c>
      <c r="AM87" s="39">
        <v>0</v>
      </c>
      <c r="AN87" s="39">
        <v>0</v>
      </c>
      <c r="AO87" s="4">
        <v>0</v>
      </c>
      <c r="AP87" s="23">
        <v>0</v>
      </c>
      <c r="AQ87" s="4">
        <v>0</v>
      </c>
      <c r="AR87" s="4">
        <v>0</v>
      </c>
      <c r="AS87" s="4">
        <v>0</v>
      </c>
      <c r="AT87" s="4">
        <v>0</v>
      </c>
      <c r="AU87" s="4">
        <v>0</v>
      </c>
      <c r="AV87" s="23">
        <v>0</v>
      </c>
      <c r="AW87" s="4">
        <v>0</v>
      </c>
      <c r="AX87" s="4">
        <v>0</v>
      </c>
      <c r="AY87" s="4">
        <v>0</v>
      </c>
      <c r="AZ87" s="4">
        <v>0</v>
      </c>
      <c r="BA87" s="4">
        <v>0</v>
      </c>
      <c r="BB87" s="23">
        <v>0</v>
      </c>
      <c r="BC87" s="4">
        <v>0</v>
      </c>
      <c r="BD87" s="4">
        <v>0</v>
      </c>
      <c r="BE87" s="4">
        <v>0</v>
      </c>
      <c r="BF87" s="4">
        <v>0</v>
      </c>
      <c r="BG87" s="4">
        <v>0</v>
      </c>
      <c r="BH87" s="4">
        <v>0</v>
      </c>
      <c r="BI87" s="23">
        <v>0</v>
      </c>
      <c r="BJ87" s="35">
        <v>0</v>
      </c>
      <c r="BK87" s="4">
        <v>0</v>
      </c>
      <c r="BL87" s="35">
        <v>0</v>
      </c>
      <c r="BM87" s="4">
        <v>0</v>
      </c>
      <c r="BN87" s="4">
        <v>0</v>
      </c>
      <c r="BO87" s="4">
        <v>0</v>
      </c>
      <c r="BP87" s="4">
        <v>0</v>
      </c>
      <c r="BQ87" s="35">
        <v>0</v>
      </c>
      <c r="BR87" s="4">
        <v>0</v>
      </c>
      <c r="BS87" s="35">
        <v>0</v>
      </c>
      <c r="BT87" s="4">
        <v>0</v>
      </c>
      <c r="BU87" s="4">
        <v>0</v>
      </c>
      <c r="BV87" s="4">
        <v>0</v>
      </c>
      <c r="BW87" s="4">
        <v>0</v>
      </c>
      <c r="BX87" s="4">
        <v>0</v>
      </c>
      <c r="BY87" s="4">
        <v>0</v>
      </c>
      <c r="BZ87" s="4">
        <v>0</v>
      </c>
      <c r="CA87" s="4">
        <v>0</v>
      </c>
      <c r="CB87" s="4">
        <v>0</v>
      </c>
      <c r="CC87" s="4">
        <v>0</v>
      </c>
      <c r="CD87" s="4">
        <v>0</v>
      </c>
      <c r="CE87" s="4">
        <v>0</v>
      </c>
      <c r="CF87" s="4">
        <v>0</v>
      </c>
      <c r="CG87" s="4">
        <v>0</v>
      </c>
      <c r="CH87" s="4">
        <v>0</v>
      </c>
      <c r="CI87" s="4">
        <v>0</v>
      </c>
      <c r="CJ87" s="35">
        <v>0</v>
      </c>
      <c r="CK87" s="4">
        <v>0</v>
      </c>
      <c r="CL87" s="35">
        <v>0</v>
      </c>
      <c r="CM87" s="4">
        <v>0</v>
      </c>
      <c r="CN87" s="4">
        <v>0</v>
      </c>
      <c r="CO87" s="4">
        <v>0</v>
      </c>
      <c r="CP87" s="4">
        <v>0</v>
      </c>
      <c r="CQ87" s="4">
        <v>0</v>
      </c>
      <c r="CR87" s="4">
        <v>0</v>
      </c>
      <c r="CS87" s="4">
        <v>0</v>
      </c>
    </row>
    <row r="88" spans="1:97" x14ac:dyDescent="0.25">
      <c r="A88" t="s">
        <v>103</v>
      </c>
      <c r="C88" s="23">
        <v>147996731.43000001</v>
      </c>
      <c r="D88" s="4">
        <v>147996731.43000001</v>
      </c>
      <c r="E88" s="4">
        <v>147996731.43000001</v>
      </c>
      <c r="F88" s="4">
        <v>147996731.43000001</v>
      </c>
      <c r="G88" s="4">
        <v>147996731.43000001</v>
      </c>
      <c r="H88" s="4">
        <v>147996731.43000001</v>
      </c>
      <c r="I88" s="4">
        <v>147996731.43000001</v>
      </c>
      <c r="J88" s="4">
        <v>147996731.43000001</v>
      </c>
      <c r="K88" s="4">
        <v>147996731.43000001</v>
      </c>
      <c r="L88" s="23">
        <v>147996731.43000001</v>
      </c>
      <c r="M88" s="4">
        <v>147996731.43000001</v>
      </c>
      <c r="N88" s="4">
        <v>147996731.43000001</v>
      </c>
      <c r="O88" s="23">
        <v>147996731.43000001</v>
      </c>
      <c r="P88" s="4">
        <v>147996731.43000001</v>
      </c>
      <c r="Q88" s="4">
        <v>0</v>
      </c>
      <c r="R88" s="4">
        <v>0</v>
      </c>
      <c r="S88" s="4">
        <v>0</v>
      </c>
      <c r="T88" s="23">
        <v>0</v>
      </c>
      <c r="U88" s="39">
        <v>0</v>
      </c>
      <c r="V88" s="39">
        <v>0</v>
      </c>
      <c r="W88" s="39">
        <v>0</v>
      </c>
      <c r="X88" s="39">
        <v>0</v>
      </c>
      <c r="Y88" s="23">
        <v>0</v>
      </c>
      <c r="Z88" s="39">
        <v>0</v>
      </c>
      <c r="AA88" s="39">
        <v>0</v>
      </c>
      <c r="AB88" s="39">
        <v>0</v>
      </c>
      <c r="AC88" s="39">
        <v>0</v>
      </c>
      <c r="AD88" s="4">
        <v>0</v>
      </c>
      <c r="AE88" s="4">
        <v>0</v>
      </c>
      <c r="AF88" s="4">
        <v>9456025.4416314997</v>
      </c>
      <c r="AG88" s="4">
        <v>9456025.4416314997</v>
      </c>
      <c r="AH88" s="4">
        <v>9456025.4416314997</v>
      </c>
      <c r="AI88" s="4">
        <v>9456025.4416314997</v>
      </c>
      <c r="AJ88" s="23">
        <v>9456025.4416314997</v>
      </c>
      <c r="AK88" s="39">
        <v>9456025.4416314997</v>
      </c>
      <c r="AL88" s="39">
        <v>9456025.4416314997</v>
      </c>
      <c r="AM88" s="39">
        <v>9456025.4416314997</v>
      </c>
      <c r="AN88" s="39">
        <v>9456025.4416314997</v>
      </c>
      <c r="AO88" s="4">
        <v>9456025.4416314997</v>
      </c>
      <c r="AP88" s="23">
        <v>9456025.4416314997</v>
      </c>
      <c r="AQ88" s="4">
        <v>9456025.4416314997</v>
      </c>
      <c r="AR88" s="4">
        <v>9456025.4416314997</v>
      </c>
      <c r="AS88" s="4">
        <v>9456025.4416314997</v>
      </c>
      <c r="AT88" s="4">
        <v>9456025.4416314997</v>
      </c>
      <c r="AU88" s="4">
        <v>9456025.4416314997</v>
      </c>
      <c r="AV88" s="23">
        <v>9456025.4416314997</v>
      </c>
      <c r="AW88" s="4">
        <v>9456025.4416314997</v>
      </c>
      <c r="AX88" s="4">
        <v>9456025.4416314997</v>
      </c>
      <c r="AY88" s="4">
        <v>9456025.4416314997</v>
      </c>
      <c r="AZ88" s="4">
        <v>9456025.4416314997</v>
      </c>
      <c r="BA88" s="4">
        <v>9456025.4416314997</v>
      </c>
      <c r="BB88" s="23">
        <v>9456025.4416314997</v>
      </c>
      <c r="BC88" s="4">
        <v>9456025.4416314997</v>
      </c>
      <c r="BD88" s="4">
        <v>9456025.4416314997</v>
      </c>
      <c r="BE88" s="4">
        <v>9456025.4416314997</v>
      </c>
      <c r="BF88" s="4">
        <v>9456025.4416314997</v>
      </c>
      <c r="BG88" s="4">
        <v>249802.21427149998</v>
      </c>
      <c r="BH88" s="4">
        <v>249802.21427149998</v>
      </c>
      <c r="BI88" s="23">
        <v>249802.21427149998</v>
      </c>
      <c r="BJ88" s="35">
        <v>249802.21427149998</v>
      </c>
      <c r="BK88" s="4">
        <v>249802.21427149998</v>
      </c>
      <c r="BL88" s="35">
        <v>249802.21427149998</v>
      </c>
      <c r="BM88" s="4">
        <v>249802.21427149998</v>
      </c>
      <c r="BN88" s="4">
        <v>249802.21427149998</v>
      </c>
      <c r="BO88" s="4">
        <v>249802.21427149998</v>
      </c>
      <c r="BP88" s="4">
        <v>249802.21427149998</v>
      </c>
      <c r="BQ88" s="35">
        <v>249802.21427149998</v>
      </c>
      <c r="BR88" s="4">
        <v>249802.21427149998</v>
      </c>
      <c r="BS88" s="35">
        <v>249802.21427149998</v>
      </c>
      <c r="BT88" s="4">
        <v>249802.21427149998</v>
      </c>
      <c r="BU88" s="4">
        <v>249802.21427149998</v>
      </c>
      <c r="BV88" s="4">
        <v>249802.21427149998</v>
      </c>
      <c r="BW88" s="4">
        <v>249802.21427149998</v>
      </c>
      <c r="BX88" s="4">
        <v>249802.21427149998</v>
      </c>
      <c r="BY88" s="4">
        <v>249802.21427149998</v>
      </c>
      <c r="BZ88" s="4">
        <v>249802.21427149998</v>
      </c>
      <c r="CA88" s="4">
        <v>249802.21427149998</v>
      </c>
      <c r="CB88" s="4">
        <v>249802.21427149998</v>
      </c>
      <c r="CC88" s="4">
        <v>249802.21427149998</v>
      </c>
      <c r="CD88" s="4">
        <v>249802.21427149998</v>
      </c>
      <c r="CE88" s="4">
        <v>249802.21427149998</v>
      </c>
      <c r="CF88" s="4">
        <v>249802.21427149998</v>
      </c>
      <c r="CG88" s="4">
        <v>249802.21427149998</v>
      </c>
      <c r="CH88" s="4">
        <v>249802.21427149998</v>
      </c>
      <c r="CI88" s="4">
        <v>249802.21427149998</v>
      </c>
      <c r="CJ88" s="35">
        <v>249802.21427149998</v>
      </c>
      <c r="CK88" s="4">
        <v>249802.21427149998</v>
      </c>
      <c r="CL88" s="35">
        <v>249802.21427149998</v>
      </c>
      <c r="CM88" s="4">
        <v>249802.21427149998</v>
      </c>
      <c r="CN88" s="4">
        <v>249802.21427149998</v>
      </c>
      <c r="CO88" s="4">
        <v>249802.21427149998</v>
      </c>
      <c r="CP88" s="4">
        <v>249802.21427149998</v>
      </c>
      <c r="CQ88" s="4">
        <v>249802.21427149998</v>
      </c>
      <c r="CR88" s="4">
        <v>249802.21427149998</v>
      </c>
      <c r="CS88" s="4">
        <v>249802.21427149998</v>
      </c>
    </row>
    <row r="89" spans="1:97" x14ac:dyDescent="0.25">
      <c r="A89" t="s">
        <v>104</v>
      </c>
      <c r="C89" s="23">
        <v>0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  <c r="L89" s="23">
        <v>0</v>
      </c>
      <c r="M89" s="4">
        <v>0</v>
      </c>
      <c r="N89" s="4">
        <v>0</v>
      </c>
      <c r="O89" s="23">
        <v>0</v>
      </c>
      <c r="P89" s="4">
        <v>0</v>
      </c>
      <c r="Q89" s="4">
        <v>0</v>
      </c>
      <c r="R89" s="4">
        <v>0</v>
      </c>
      <c r="S89" s="4">
        <v>0</v>
      </c>
      <c r="T89" s="23">
        <v>0</v>
      </c>
      <c r="U89" s="39">
        <v>0</v>
      </c>
      <c r="V89" s="39">
        <v>0</v>
      </c>
      <c r="W89" s="39">
        <v>0</v>
      </c>
      <c r="X89" s="39">
        <v>0</v>
      </c>
      <c r="Y89" s="23">
        <v>0</v>
      </c>
      <c r="Z89" s="39">
        <v>0</v>
      </c>
      <c r="AA89" s="39">
        <v>0</v>
      </c>
      <c r="AB89" s="39">
        <v>0</v>
      </c>
      <c r="AC89" s="39">
        <v>0</v>
      </c>
      <c r="AD89" s="4">
        <v>0</v>
      </c>
      <c r="AE89" s="4">
        <v>0</v>
      </c>
      <c r="AF89" s="4">
        <v>0</v>
      </c>
      <c r="AG89" s="4">
        <v>0</v>
      </c>
      <c r="AH89" s="4">
        <v>0</v>
      </c>
      <c r="AI89" s="4">
        <v>0</v>
      </c>
      <c r="AJ89" s="23">
        <v>0</v>
      </c>
      <c r="AK89" s="39">
        <v>0</v>
      </c>
      <c r="AL89" s="39">
        <v>0</v>
      </c>
      <c r="AM89" s="39">
        <v>0</v>
      </c>
      <c r="AN89" s="39">
        <v>0</v>
      </c>
      <c r="AO89" s="4">
        <v>0</v>
      </c>
      <c r="AP89" s="23">
        <v>0</v>
      </c>
      <c r="AQ89" s="4">
        <v>0</v>
      </c>
      <c r="AR89" s="4">
        <v>0</v>
      </c>
      <c r="AS89" s="4">
        <v>0</v>
      </c>
      <c r="AT89" s="4">
        <v>0</v>
      </c>
      <c r="AU89" s="4">
        <v>0</v>
      </c>
      <c r="AV89" s="23">
        <v>0</v>
      </c>
      <c r="AW89" s="4">
        <v>0</v>
      </c>
      <c r="AX89" s="4">
        <v>0</v>
      </c>
      <c r="AY89" s="4">
        <v>0</v>
      </c>
      <c r="AZ89" s="4">
        <v>0</v>
      </c>
      <c r="BA89" s="4">
        <v>0</v>
      </c>
      <c r="BB89" s="23">
        <v>0</v>
      </c>
      <c r="BC89" s="4">
        <v>0</v>
      </c>
      <c r="BD89" s="4">
        <v>0</v>
      </c>
      <c r="BE89" s="4">
        <v>0</v>
      </c>
      <c r="BF89" s="4">
        <v>0</v>
      </c>
      <c r="BG89" s="4">
        <v>0</v>
      </c>
      <c r="BH89" s="4">
        <v>0</v>
      </c>
      <c r="BI89" s="23">
        <v>0</v>
      </c>
      <c r="BJ89" s="35">
        <v>0</v>
      </c>
      <c r="BK89" s="4">
        <v>0</v>
      </c>
      <c r="BL89" s="35">
        <v>0</v>
      </c>
      <c r="BM89" s="4">
        <v>0</v>
      </c>
      <c r="BN89" s="4">
        <v>0</v>
      </c>
      <c r="BO89" s="4">
        <v>0</v>
      </c>
      <c r="BP89" s="4">
        <v>0</v>
      </c>
      <c r="BQ89" s="35">
        <v>0</v>
      </c>
      <c r="BR89" s="4">
        <v>0</v>
      </c>
      <c r="BS89" s="35">
        <v>0</v>
      </c>
      <c r="BT89" s="4">
        <v>0</v>
      </c>
      <c r="BU89" s="4">
        <v>0</v>
      </c>
      <c r="BV89" s="4">
        <v>0</v>
      </c>
      <c r="BW89" s="4">
        <v>0</v>
      </c>
      <c r="BX89" s="4">
        <v>0</v>
      </c>
      <c r="BY89" s="4">
        <v>0</v>
      </c>
      <c r="BZ89" s="4">
        <v>0</v>
      </c>
      <c r="CA89" s="4">
        <v>0</v>
      </c>
      <c r="CB89" s="4">
        <v>0</v>
      </c>
      <c r="CC89" s="4">
        <v>0</v>
      </c>
      <c r="CD89" s="4">
        <v>0</v>
      </c>
      <c r="CE89" s="4">
        <v>0</v>
      </c>
      <c r="CF89" s="4">
        <v>0</v>
      </c>
      <c r="CG89" s="4">
        <v>0</v>
      </c>
      <c r="CH89" s="4">
        <v>0</v>
      </c>
      <c r="CI89" s="4">
        <v>0</v>
      </c>
      <c r="CJ89" s="35">
        <v>0</v>
      </c>
      <c r="CK89" s="4">
        <v>0</v>
      </c>
      <c r="CL89" s="35">
        <v>0</v>
      </c>
      <c r="CM89" s="4">
        <v>0</v>
      </c>
      <c r="CN89" s="4">
        <v>0</v>
      </c>
      <c r="CO89" s="4">
        <v>0</v>
      </c>
      <c r="CP89" s="4">
        <v>0</v>
      </c>
      <c r="CQ89" s="4">
        <v>0</v>
      </c>
      <c r="CR89" s="4">
        <v>0</v>
      </c>
      <c r="CS89" s="4">
        <v>0</v>
      </c>
    </row>
    <row r="90" spans="1:97" x14ac:dyDescent="0.25">
      <c r="A90" t="s">
        <v>105</v>
      </c>
      <c r="C90" s="23">
        <v>75000000</v>
      </c>
      <c r="D90" s="4">
        <v>75000000</v>
      </c>
      <c r="E90" s="4">
        <v>75000000</v>
      </c>
      <c r="F90" s="4">
        <v>75000000</v>
      </c>
      <c r="G90" s="4">
        <v>75000000</v>
      </c>
      <c r="H90" s="4">
        <v>75000000</v>
      </c>
      <c r="I90" s="4">
        <v>75000000</v>
      </c>
      <c r="J90" s="4">
        <v>75000000</v>
      </c>
      <c r="K90" s="4">
        <v>75000000</v>
      </c>
      <c r="L90" s="23">
        <v>75000000</v>
      </c>
      <c r="M90" s="4">
        <v>75000000</v>
      </c>
      <c r="N90" s="4">
        <v>75000000</v>
      </c>
      <c r="O90" s="23">
        <v>75000000</v>
      </c>
      <c r="P90" s="4">
        <v>75000000</v>
      </c>
      <c r="Q90" s="4">
        <v>0</v>
      </c>
      <c r="R90" s="4">
        <v>0</v>
      </c>
      <c r="S90" s="4">
        <v>0</v>
      </c>
      <c r="T90" s="23">
        <v>0</v>
      </c>
      <c r="U90" s="39">
        <v>0</v>
      </c>
      <c r="V90" s="39">
        <v>0</v>
      </c>
      <c r="W90" s="39">
        <v>0</v>
      </c>
      <c r="X90" s="39">
        <v>0</v>
      </c>
      <c r="Y90" s="23">
        <v>0</v>
      </c>
      <c r="Z90" s="39">
        <v>0</v>
      </c>
      <c r="AA90" s="39">
        <v>0</v>
      </c>
      <c r="AB90" s="39">
        <v>0</v>
      </c>
      <c r="AC90" s="39">
        <v>0</v>
      </c>
      <c r="AD90" s="4">
        <v>0</v>
      </c>
      <c r="AE90" s="4">
        <v>0</v>
      </c>
      <c r="AF90" s="4">
        <v>0</v>
      </c>
      <c r="AG90" s="4">
        <v>0</v>
      </c>
      <c r="AH90" s="4">
        <v>0</v>
      </c>
      <c r="AI90" s="4">
        <v>0</v>
      </c>
      <c r="AJ90" s="23">
        <v>0</v>
      </c>
      <c r="AK90" s="39">
        <v>0</v>
      </c>
      <c r="AL90" s="39">
        <v>0</v>
      </c>
      <c r="AM90" s="39">
        <v>0</v>
      </c>
      <c r="AN90" s="39">
        <v>0</v>
      </c>
      <c r="AO90" s="4">
        <v>0</v>
      </c>
      <c r="AP90" s="23">
        <v>0</v>
      </c>
      <c r="AQ90" s="4">
        <v>0</v>
      </c>
      <c r="AR90" s="4">
        <v>0</v>
      </c>
      <c r="AS90" s="4">
        <v>0</v>
      </c>
      <c r="AT90" s="4">
        <v>0</v>
      </c>
      <c r="AU90" s="4">
        <v>0</v>
      </c>
      <c r="AV90" s="23">
        <v>0</v>
      </c>
      <c r="AW90" s="4">
        <v>0</v>
      </c>
      <c r="AX90" s="4">
        <v>0</v>
      </c>
      <c r="AY90" s="4">
        <v>0</v>
      </c>
      <c r="AZ90" s="4">
        <v>0</v>
      </c>
      <c r="BA90" s="4">
        <v>0</v>
      </c>
      <c r="BB90" s="23">
        <v>0</v>
      </c>
      <c r="BC90" s="4">
        <v>0</v>
      </c>
      <c r="BD90" s="4">
        <v>0</v>
      </c>
      <c r="BE90" s="4">
        <v>0</v>
      </c>
      <c r="BF90" s="4">
        <v>0</v>
      </c>
      <c r="BG90" s="4">
        <v>0</v>
      </c>
      <c r="BH90" s="4">
        <v>0</v>
      </c>
      <c r="BI90" s="23">
        <v>0</v>
      </c>
      <c r="BJ90" s="35">
        <v>0</v>
      </c>
      <c r="BK90" s="4">
        <v>0</v>
      </c>
      <c r="BL90" s="35">
        <v>0</v>
      </c>
      <c r="BM90" s="4">
        <v>0</v>
      </c>
      <c r="BN90" s="4">
        <v>0</v>
      </c>
      <c r="BO90" s="4">
        <v>0</v>
      </c>
      <c r="BP90" s="4">
        <v>0</v>
      </c>
      <c r="BQ90" s="35">
        <v>0</v>
      </c>
      <c r="BR90" s="4">
        <v>0</v>
      </c>
      <c r="BS90" s="35">
        <v>0</v>
      </c>
      <c r="BT90" s="4">
        <v>0</v>
      </c>
      <c r="BU90" s="4">
        <v>0</v>
      </c>
      <c r="BV90" s="4">
        <v>0</v>
      </c>
      <c r="BW90" s="4">
        <v>0</v>
      </c>
      <c r="BX90" s="4">
        <v>0</v>
      </c>
      <c r="BY90" s="4">
        <v>0</v>
      </c>
      <c r="BZ90" s="4">
        <v>0</v>
      </c>
      <c r="CA90" s="4">
        <v>0</v>
      </c>
      <c r="CB90" s="4">
        <v>0</v>
      </c>
      <c r="CC90" s="4">
        <v>0</v>
      </c>
      <c r="CD90" s="4">
        <v>0</v>
      </c>
      <c r="CE90" s="4">
        <v>0</v>
      </c>
      <c r="CF90" s="4">
        <v>0</v>
      </c>
      <c r="CG90" s="4">
        <v>0</v>
      </c>
      <c r="CH90" s="4">
        <v>0</v>
      </c>
      <c r="CI90" s="4">
        <v>0</v>
      </c>
      <c r="CJ90" s="35">
        <v>0</v>
      </c>
      <c r="CK90" s="4">
        <v>0</v>
      </c>
      <c r="CL90" s="35">
        <v>0</v>
      </c>
      <c r="CM90" s="4">
        <v>0</v>
      </c>
      <c r="CN90" s="4">
        <v>0</v>
      </c>
      <c r="CO90" s="4">
        <v>0</v>
      </c>
      <c r="CP90" s="4">
        <v>0</v>
      </c>
      <c r="CQ90" s="4">
        <v>0</v>
      </c>
      <c r="CR90" s="4">
        <v>0</v>
      </c>
      <c r="CS90" s="4">
        <v>0</v>
      </c>
    </row>
    <row r="91" spans="1:97" x14ac:dyDescent="0.25">
      <c r="A91" t="s">
        <v>106</v>
      </c>
      <c r="C91" s="23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  <c r="L91" s="23">
        <v>0</v>
      </c>
      <c r="M91" s="4">
        <v>0</v>
      </c>
      <c r="N91" s="4">
        <v>0</v>
      </c>
      <c r="O91" s="23">
        <v>0</v>
      </c>
      <c r="P91" s="4">
        <v>0</v>
      </c>
      <c r="Q91" s="4">
        <v>0</v>
      </c>
      <c r="R91" s="4">
        <v>0</v>
      </c>
      <c r="S91" s="4">
        <v>0</v>
      </c>
      <c r="T91" s="23">
        <v>0</v>
      </c>
      <c r="U91" s="39">
        <v>0</v>
      </c>
      <c r="V91" s="39">
        <v>0</v>
      </c>
      <c r="W91" s="39">
        <v>0</v>
      </c>
      <c r="X91" s="39">
        <v>0</v>
      </c>
      <c r="Y91" s="23">
        <v>0</v>
      </c>
      <c r="Z91" s="39">
        <v>0</v>
      </c>
      <c r="AA91" s="39">
        <v>0</v>
      </c>
      <c r="AB91" s="39">
        <v>0</v>
      </c>
      <c r="AC91" s="39">
        <v>0</v>
      </c>
      <c r="AD91" s="4">
        <v>0</v>
      </c>
      <c r="AE91" s="4">
        <v>0</v>
      </c>
      <c r="AF91" s="4">
        <v>0</v>
      </c>
      <c r="AG91" s="4">
        <v>0</v>
      </c>
      <c r="AH91" s="4">
        <v>0</v>
      </c>
      <c r="AI91" s="4">
        <v>0</v>
      </c>
      <c r="AJ91" s="23">
        <v>0</v>
      </c>
      <c r="AK91" s="39">
        <v>0</v>
      </c>
      <c r="AL91" s="39">
        <v>0</v>
      </c>
      <c r="AM91" s="39">
        <v>0</v>
      </c>
      <c r="AN91" s="39">
        <v>0</v>
      </c>
      <c r="AO91" s="4">
        <v>0</v>
      </c>
      <c r="AP91" s="23">
        <v>0</v>
      </c>
      <c r="AQ91" s="4">
        <v>0</v>
      </c>
      <c r="AR91" s="4">
        <v>0</v>
      </c>
      <c r="AS91" s="4">
        <v>0</v>
      </c>
      <c r="AT91" s="4">
        <v>0</v>
      </c>
      <c r="AU91" s="4">
        <v>0</v>
      </c>
      <c r="AV91" s="23">
        <v>0</v>
      </c>
      <c r="AW91" s="4">
        <v>0</v>
      </c>
      <c r="AX91" s="4">
        <v>0</v>
      </c>
      <c r="AY91" s="4">
        <v>0</v>
      </c>
      <c r="AZ91" s="4">
        <v>0</v>
      </c>
      <c r="BA91" s="4">
        <v>0</v>
      </c>
      <c r="BB91" s="23">
        <v>0</v>
      </c>
      <c r="BC91" s="4">
        <v>0</v>
      </c>
      <c r="BD91" s="4">
        <v>0</v>
      </c>
      <c r="BE91" s="4">
        <v>0</v>
      </c>
      <c r="BF91" s="4">
        <v>0</v>
      </c>
      <c r="BG91" s="4">
        <v>0</v>
      </c>
      <c r="BH91" s="4">
        <v>0</v>
      </c>
      <c r="BI91" s="23">
        <v>0</v>
      </c>
      <c r="BJ91" s="35">
        <v>0</v>
      </c>
      <c r="BK91" s="4">
        <v>0</v>
      </c>
      <c r="BL91" s="35">
        <v>0</v>
      </c>
      <c r="BM91" s="4">
        <v>0</v>
      </c>
      <c r="BN91" s="4">
        <v>0</v>
      </c>
      <c r="BO91" s="4">
        <v>0</v>
      </c>
      <c r="BP91" s="4">
        <v>0</v>
      </c>
      <c r="BQ91" s="35">
        <v>0</v>
      </c>
      <c r="BR91" s="4">
        <v>0</v>
      </c>
      <c r="BS91" s="35">
        <v>0</v>
      </c>
      <c r="BT91" s="4">
        <v>0</v>
      </c>
      <c r="BU91" s="4">
        <v>0</v>
      </c>
      <c r="BV91" s="4">
        <v>0</v>
      </c>
      <c r="BW91" s="4">
        <v>0</v>
      </c>
      <c r="BX91" s="4">
        <v>0</v>
      </c>
      <c r="BY91" s="4">
        <v>0</v>
      </c>
      <c r="BZ91" s="4">
        <v>0</v>
      </c>
      <c r="CA91" s="4">
        <v>0</v>
      </c>
      <c r="CB91" s="4">
        <v>0</v>
      </c>
      <c r="CC91" s="4">
        <v>0</v>
      </c>
      <c r="CD91" s="4">
        <v>0</v>
      </c>
      <c r="CE91" s="4">
        <v>0</v>
      </c>
      <c r="CF91" s="4">
        <v>0</v>
      </c>
      <c r="CG91" s="4">
        <v>0</v>
      </c>
      <c r="CH91" s="4">
        <v>0</v>
      </c>
      <c r="CI91" s="4">
        <v>0</v>
      </c>
      <c r="CJ91" s="35">
        <v>0</v>
      </c>
      <c r="CK91" s="4">
        <v>0</v>
      </c>
      <c r="CL91" s="35">
        <v>0</v>
      </c>
      <c r="CM91" s="4">
        <v>0</v>
      </c>
      <c r="CN91" s="4">
        <v>0</v>
      </c>
      <c r="CO91" s="4">
        <v>0</v>
      </c>
      <c r="CP91" s="4">
        <v>0</v>
      </c>
      <c r="CQ91" s="4">
        <v>0</v>
      </c>
      <c r="CR91" s="4">
        <v>0</v>
      </c>
      <c r="CS91" s="4">
        <v>0</v>
      </c>
    </row>
    <row r="92" spans="1:97" x14ac:dyDescent="0.25">
      <c r="A92" t="s">
        <v>107</v>
      </c>
      <c r="B92" t="s">
        <v>108</v>
      </c>
      <c r="C92" s="23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  <c r="L92" s="23">
        <v>0</v>
      </c>
      <c r="M92" s="4">
        <v>0</v>
      </c>
      <c r="N92" s="4">
        <v>0</v>
      </c>
      <c r="O92" s="23">
        <v>0</v>
      </c>
      <c r="P92" s="4">
        <v>0</v>
      </c>
      <c r="Q92" s="4">
        <v>0</v>
      </c>
      <c r="R92" s="4">
        <v>0</v>
      </c>
      <c r="S92" s="4">
        <v>0</v>
      </c>
      <c r="T92" s="23">
        <v>0</v>
      </c>
      <c r="U92" s="39">
        <v>0</v>
      </c>
      <c r="V92" s="39">
        <v>0</v>
      </c>
      <c r="W92" s="39">
        <v>0</v>
      </c>
      <c r="X92" s="39">
        <v>0</v>
      </c>
      <c r="Y92" s="23">
        <v>0</v>
      </c>
      <c r="Z92" s="39">
        <v>0</v>
      </c>
      <c r="AA92" s="39">
        <v>0</v>
      </c>
      <c r="AB92" s="39">
        <v>0</v>
      </c>
      <c r="AC92" s="39">
        <v>0</v>
      </c>
      <c r="AD92" s="43">
        <v>0</v>
      </c>
      <c r="AE92" s="4">
        <v>0</v>
      </c>
      <c r="AF92" s="4">
        <v>0</v>
      </c>
      <c r="AG92" s="4">
        <v>0</v>
      </c>
      <c r="AH92" s="4">
        <v>0</v>
      </c>
      <c r="AI92" s="4">
        <v>0</v>
      </c>
      <c r="AJ92" s="23">
        <v>0</v>
      </c>
      <c r="AK92" s="39">
        <v>0</v>
      </c>
      <c r="AL92" s="39">
        <v>0</v>
      </c>
      <c r="AM92" s="39">
        <v>0</v>
      </c>
      <c r="AN92" s="39">
        <v>0</v>
      </c>
      <c r="AO92" s="4">
        <v>0</v>
      </c>
      <c r="AP92" s="23">
        <v>0</v>
      </c>
      <c r="AQ92" s="4">
        <v>0</v>
      </c>
      <c r="AR92" s="4">
        <v>0</v>
      </c>
      <c r="AS92" s="4">
        <v>0</v>
      </c>
      <c r="AT92" s="4">
        <v>0</v>
      </c>
      <c r="AU92" s="4">
        <v>0</v>
      </c>
      <c r="AV92" s="23">
        <v>0</v>
      </c>
      <c r="AW92" s="4">
        <v>0</v>
      </c>
      <c r="AX92" s="4">
        <v>0</v>
      </c>
      <c r="AY92" s="4">
        <v>0</v>
      </c>
      <c r="AZ92" s="4">
        <v>0</v>
      </c>
      <c r="BA92" s="4">
        <v>0</v>
      </c>
      <c r="BB92" s="23">
        <v>0</v>
      </c>
      <c r="BC92" s="4">
        <v>0</v>
      </c>
      <c r="BD92" s="4">
        <v>0</v>
      </c>
      <c r="BE92" s="4">
        <v>0</v>
      </c>
      <c r="BF92" s="43">
        <v>0</v>
      </c>
      <c r="BG92" s="4">
        <v>0</v>
      </c>
      <c r="BH92" s="4">
        <v>0</v>
      </c>
      <c r="BI92" s="23">
        <v>0</v>
      </c>
      <c r="BJ92" s="35">
        <v>0</v>
      </c>
      <c r="BK92" s="4">
        <v>0</v>
      </c>
      <c r="BL92" s="35">
        <v>0</v>
      </c>
      <c r="BM92" s="4">
        <v>0</v>
      </c>
      <c r="BN92" s="4">
        <v>0</v>
      </c>
      <c r="BO92" s="4">
        <v>0</v>
      </c>
      <c r="BP92" s="4">
        <v>0</v>
      </c>
      <c r="BQ92" s="35">
        <v>0</v>
      </c>
      <c r="BR92" s="4">
        <v>0</v>
      </c>
      <c r="BS92" s="35">
        <v>0</v>
      </c>
      <c r="BT92" s="4">
        <v>0</v>
      </c>
      <c r="BU92" s="4">
        <v>0</v>
      </c>
      <c r="BV92" s="4">
        <v>0</v>
      </c>
      <c r="BW92" s="4">
        <v>0</v>
      </c>
      <c r="BX92" s="4">
        <v>0</v>
      </c>
      <c r="BY92" s="4">
        <v>0</v>
      </c>
      <c r="BZ92" s="4">
        <v>0</v>
      </c>
      <c r="CA92" s="4">
        <v>0</v>
      </c>
      <c r="CB92" s="4">
        <v>0</v>
      </c>
      <c r="CC92" s="4">
        <v>0</v>
      </c>
      <c r="CD92" s="4">
        <v>0</v>
      </c>
      <c r="CE92" s="4">
        <v>0</v>
      </c>
      <c r="CF92" s="4">
        <v>0</v>
      </c>
      <c r="CG92" s="4">
        <v>0</v>
      </c>
      <c r="CH92" s="4">
        <v>0</v>
      </c>
      <c r="CI92" s="4">
        <v>0</v>
      </c>
      <c r="CJ92" s="35">
        <v>0</v>
      </c>
      <c r="CK92" s="4">
        <v>0</v>
      </c>
      <c r="CL92" s="35">
        <v>0</v>
      </c>
      <c r="CM92" s="4">
        <v>0</v>
      </c>
      <c r="CN92" s="4">
        <v>0</v>
      </c>
      <c r="CO92" s="4">
        <v>0</v>
      </c>
      <c r="CP92" s="4">
        <v>0</v>
      </c>
      <c r="CQ92" s="4">
        <v>0</v>
      </c>
      <c r="CR92" s="4">
        <v>0</v>
      </c>
      <c r="CS92" s="4">
        <v>0</v>
      </c>
    </row>
    <row r="93" spans="1:97" x14ac:dyDescent="0.25">
      <c r="A93" t="s">
        <v>109</v>
      </c>
      <c r="C93" s="2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23">
        <v>0</v>
      </c>
      <c r="M93" s="4">
        <v>0</v>
      </c>
      <c r="N93" s="4">
        <v>0</v>
      </c>
      <c r="O93" s="23">
        <v>0</v>
      </c>
      <c r="P93" s="4">
        <v>0</v>
      </c>
      <c r="Q93" s="4">
        <v>0</v>
      </c>
      <c r="R93" s="4">
        <v>0</v>
      </c>
      <c r="S93" s="4">
        <v>0</v>
      </c>
      <c r="T93" s="23">
        <v>0</v>
      </c>
      <c r="U93" s="39">
        <v>0</v>
      </c>
      <c r="V93" s="39">
        <v>0</v>
      </c>
      <c r="W93" s="39">
        <v>0</v>
      </c>
      <c r="X93" s="39">
        <v>0</v>
      </c>
      <c r="Y93" s="23">
        <v>0</v>
      </c>
      <c r="Z93" s="39">
        <v>0</v>
      </c>
      <c r="AA93" s="39">
        <v>0</v>
      </c>
      <c r="AB93" s="39">
        <v>0</v>
      </c>
      <c r="AC93" s="39">
        <v>0</v>
      </c>
      <c r="AD93" s="43">
        <v>0</v>
      </c>
      <c r="AE93" s="4">
        <v>0</v>
      </c>
      <c r="AF93" s="4">
        <v>0</v>
      </c>
      <c r="AG93" s="4">
        <v>0</v>
      </c>
      <c r="AH93" s="4">
        <v>0</v>
      </c>
      <c r="AI93" s="4">
        <v>0</v>
      </c>
      <c r="AJ93" s="23">
        <v>0</v>
      </c>
      <c r="AK93" s="39">
        <v>0</v>
      </c>
      <c r="AL93" s="39">
        <v>0</v>
      </c>
      <c r="AM93" s="39">
        <v>0</v>
      </c>
      <c r="AN93" s="39">
        <v>0</v>
      </c>
      <c r="AO93" s="4">
        <v>0</v>
      </c>
      <c r="AP93" s="23">
        <v>0</v>
      </c>
      <c r="AQ93" s="4">
        <v>0</v>
      </c>
      <c r="AR93" s="4">
        <v>0</v>
      </c>
      <c r="AS93" s="4">
        <v>0</v>
      </c>
      <c r="AT93" s="4">
        <v>0</v>
      </c>
      <c r="AU93" s="4">
        <v>0</v>
      </c>
      <c r="AV93" s="23">
        <v>0</v>
      </c>
      <c r="AW93" s="4">
        <v>0</v>
      </c>
      <c r="AX93" s="4">
        <v>0</v>
      </c>
      <c r="AY93" s="4">
        <v>0</v>
      </c>
      <c r="AZ93" s="4">
        <v>0</v>
      </c>
      <c r="BA93" s="4">
        <v>0</v>
      </c>
      <c r="BB93" s="23">
        <v>0</v>
      </c>
      <c r="BC93" s="4">
        <v>0</v>
      </c>
      <c r="BD93" s="4">
        <v>0</v>
      </c>
      <c r="BE93" s="4">
        <v>0</v>
      </c>
      <c r="BF93" s="43">
        <v>0</v>
      </c>
      <c r="BG93" s="4">
        <v>29198752.146400698</v>
      </c>
      <c r="BH93" s="4">
        <v>29198752.146400698</v>
      </c>
      <c r="BI93" s="23">
        <v>29198752.146400698</v>
      </c>
      <c r="BJ93" s="35">
        <v>29198752.146400698</v>
      </c>
      <c r="BK93" s="4">
        <v>29198752.146400698</v>
      </c>
      <c r="BL93" s="35">
        <v>29198752.146400698</v>
      </c>
      <c r="BM93" s="4">
        <v>29198752.146400698</v>
      </c>
      <c r="BN93" s="4">
        <v>29198752.146400698</v>
      </c>
      <c r="BO93" s="4">
        <v>29198752.146400698</v>
      </c>
      <c r="BP93" s="4">
        <v>29198752.146400698</v>
      </c>
      <c r="BQ93" s="35">
        <v>29198752.146400698</v>
      </c>
      <c r="BR93" s="4">
        <v>29198752.146400698</v>
      </c>
      <c r="BS93" s="35">
        <v>29198752.146400698</v>
      </c>
      <c r="BT93" s="4">
        <v>29198752.146400698</v>
      </c>
      <c r="BU93" s="4">
        <v>29198752.146400698</v>
      </c>
      <c r="BV93" s="4">
        <v>29198752.146400698</v>
      </c>
      <c r="BW93" s="4">
        <v>29198752.146400698</v>
      </c>
      <c r="BX93" s="4">
        <v>29198752.146400698</v>
      </c>
      <c r="BY93" s="4">
        <v>29198752.146400698</v>
      </c>
      <c r="BZ93" s="4">
        <v>29198752.146400698</v>
      </c>
      <c r="CA93" s="4">
        <v>29198752.146400698</v>
      </c>
      <c r="CB93" s="4">
        <v>29198752.146400698</v>
      </c>
      <c r="CC93" s="4">
        <v>29198752.146400698</v>
      </c>
      <c r="CD93" s="4">
        <v>29198752.146400698</v>
      </c>
      <c r="CE93" s="4">
        <v>29198752.146400698</v>
      </c>
      <c r="CF93" s="4">
        <v>29198752.146400698</v>
      </c>
      <c r="CG93" s="4">
        <v>29198752.146400698</v>
      </c>
      <c r="CH93" s="4">
        <v>29198752.146400698</v>
      </c>
      <c r="CI93" s="4">
        <v>29198752.146400698</v>
      </c>
      <c r="CJ93" s="35">
        <v>29198752.146400698</v>
      </c>
      <c r="CK93" s="4">
        <v>29198752.146400698</v>
      </c>
      <c r="CL93" s="35">
        <v>29198752.146400698</v>
      </c>
      <c r="CM93" s="4">
        <v>29198752.146400698</v>
      </c>
      <c r="CN93" s="4">
        <v>29198752.146400698</v>
      </c>
      <c r="CO93" s="4">
        <v>29198752.146400698</v>
      </c>
      <c r="CP93" s="4">
        <v>29198752.146400698</v>
      </c>
      <c r="CQ93" s="4">
        <v>29198752.146400698</v>
      </c>
      <c r="CR93" s="4">
        <v>29198752.146400698</v>
      </c>
      <c r="CS93" s="4">
        <v>29198752.146400698</v>
      </c>
    </row>
    <row r="94" spans="1:97" x14ac:dyDescent="0.25">
      <c r="A94" t="s">
        <v>110</v>
      </c>
      <c r="C94" s="23">
        <v>5122709.8883333337</v>
      </c>
      <c r="D94" s="4">
        <v>5122709.8883333337</v>
      </c>
      <c r="E94" s="4">
        <v>5122709.8883333337</v>
      </c>
      <c r="F94" s="4">
        <v>5122709.8883333337</v>
      </c>
      <c r="G94" s="4">
        <v>5122709.8883333337</v>
      </c>
      <c r="H94" s="4">
        <v>5122709.8883333337</v>
      </c>
      <c r="I94" s="4">
        <v>5122709.8883333337</v>
      </c>
      <c r="J94" s="4">
        <v>5122709.8883333337</v>
      </c>
      <c r="K94" s="4">
        <v>5122709.8883333337</v>
      </c>
      <c r="L94" s="23">
        <v>5122709.8883333337</v>
      </c>
      <c r="M94" s="4">
        <v>5122709.8883333337</v>
      </c>
      <c r="N94" s="4">
        <v>5122709.8883333337</v>
      </c>
      <c r="O94" s="23">
        <v>5122709.8883333337</v>
      </c>
      <c r="P94" s="4">
        <v>5122709.8883333337</v>
      </c>
      <c r="Q94" s="4">
        <v>31748445.491666667</v>
      </c>
      <c r="R94" s="4">
        <v>31748445.491666667</v>
      </c>
      <c r="S94" s="4">
        <v>31748445.491666667</v>
      </c>
      <c r="T94" s="23">
        <v>31748445.491666667</v>
      </c>
      <c r="U94" s="39">
        <v>31748445.491666667</v>
      </c>
      <c r="V94" s="39">
        <v>31748445.491666667</v>
      </c>
      <c r="W94" s="39">
        <v>31748445.491666667</v>
      </c>
      <c r="X94" s="39">
        <v>31748445.491666667</v>
      </c>
      <c r="Y94" s="23">
        <v>31748445.491666667</v>
      </c>
      <c r="Z94" s="39">
        <v>31748445.491666667</v>
      </c>
      <c r="AA94" s="39">
        <v>31748445.491666667</v>
      </c>
      <c r="AB94" s="39">
        <v>31748445.491666667</v>
      </c>
      <c r="AC94" s="39">
        <v>31748445.491666667</v>
      </c>
      <c r="AD94" s="4">
        <v>31748445.491666667</v>
      </c>
      <c r="AE94" s="4">
        <v>31748445.491666667</v>
      </c>
      <c r="AF94" s="4">
        <v>3571069.2958333334</v>
      </c>
      <c r="AG94" s="4">
        <v>3571069.2958333334</v>
      </c>
      <c r="AH94" s="4">
        <v>3571069.2958333334</v>
      </c>
      <c r="AI94" s="4">
        <v>3571069.2958333334</v>
      </c>
      <c r="AJ94" s="23">
        <v>3571069.2958333334</v>
      </c>
      <c r="AK94" s="39">
        <v>3571069.2958333334</v>
      </c>
      <c r="AL94" s="39">
        <v>3571069.2958333334</v>
      </c>
      <c r="AM94" s="39">
        <v>3571069.2958333334</v>
      </c>
      <c r="AN94" s="39">
        <v>3571069.2958333334</v>
      </c>
      <c r="AO94" s="4">
        <v>3571069.2958333334</v>
      </c>
      <c r="AP94" s="23">
        <v>3571069.2958333334</v>
      </c>
      <c r="AQ94" s="4">
        <v>3571069.2958333334</v>
      </c>
      <c r="AR94" s="4">
        <v>3571069.2958333334</v>
      </c>
      <c r="AS94" s="4">
        <v>3571069.2958333334</v>
      </c>
      <c r="AT94" s="4">
        <v>3571069.2958333334</v>
      </c>
      <c r="AU94" s="4">
        <v>3571069.2958333334</v>
      </c>
      <c r="AV94" s="23">
        <v>3571069.2958333334</v>
      </c>
      <c r="AW94" s="4">
        <v>3571069.2958333334</v>
      </c>
      <c r="AX94" s="4">
        <v>3571069.2958333334</v>
      </c>
      <c r="AY94" s="4">
        <v>3571069.2958333334</v>
      </c>
      <c r="AZ94" s="4">
        <v>3571069.2958333334</v>
      </c>
      <c r="BA94" s="4">
        <v>3571069.2958333334</v>
      </c>
      <c r="BB94" s="23">
        <v>3571069.2958333334</v>
      </c>
      <c r="BC94" s="4">
        <v>3571069.2958333334</v>
      </c>
      <c r="BD94" s="4">
        <v>3571069.2958333334</v>
      </c>
      <c r="BE94" s="4">
        <v>3571069.2958333334</v>
      </c>
      <c r="BF94" s="4">
        <v>3571069.2958333334</v>
      </c>
      <c r="BG94" s="4">
        <v>33576155.478333332</v>
      </c>
      <c r="BH94" s="4">
        <v>33576155.478333332</v>
      </c>
      <c r="BI94" s="23">
        <v>33576155.478333332</v>
      </c>
      <c r="BJ94" s="35">
        <v>33576155.478333332</v>
      </c>
      <c r="BK94" s="4">
        <v>33576155.478333332</v>
      </c>
      <c r="BL94" s="35">
        <v>33576155.478333332</v>
      </c>
      <c r="BM94" s="4">
        <v>33576155.478333332</v>
      </c>
      <c r="BN94" s="4">
        <v>33576155.478333332</v>
      </c>
      <c r="BO94" s="4">
        <v>33576155.478333332</v>
      </c>
      <c r="BP94" s="4">
        <v>33576155.478333332</v>
      </c>
      <c r="BQ94" s="35">
        <v>33576155.478333332</v>
      </c>
      <c r="BR94" s="4">
        <v>33576155.478333332</v>
      </c>
      <c r="BS94" s="35">
        <v>33576155.478333332</v>
      </c>
      <c r="BT94" s="4">
        <v>33576155.478333332</v>
      </c>
      <c r="BU94" s="4">
        <v>33576155.478333332</v>
      </c>
      <c r="BV94" s="4">
        <v>33576155.478333332</v>
      </c>
      <c r="BW94" s="4">
        <v>33576155.478333332</v>
      </c>
      <c r="BX94" s="4">
        <v>33576155.478333332</v>
      </c>
      <c r="BY94" s="4">
        <v>33576155.478333332</v>
      </c>
      <c r="BZ94" s="4">
        <v>33576155.478333332</v>
      </c>
      <c r="CA94" s="4">
        <v>33576155.478333332</v>
      </c>
      <c r="CB94" s="4">
        <v>33576155.478333332</v>
      </c>
      <c r="CC94" s="4">
        <v>33576155.478333332</v>
      </c>
      <c r="CD94" s="4">
        <v>33576155.478333332</v>
      </c>
      <c r="CE94" s="4">
        <v>33576155.478333332</v>
      </c>
      <c r="CF94" s="4">
        <v>33576155.478333332</v>
      </c>
      <c r="CG94" s="4">
        <v>33576155.478333332</v>
      </c>
      <c r="CH94" s="4">
        <v>33576155.478333332</v>
      </c>
      <c r="CI94" s="4">
        <v>33576155.478333332</v>
      </c>
      <c r="CJ94" s="35">
        <v>33576155.478333332</v>
      </c>
      <c r="CK94" s="4">
        <v>33576155.478333332</v>
      </c>
      <c r="CL94" s="35">
        <v>33576155.478333332</v>
      </c>
      <c r="CM94" s="4">
        <v>33576155.478333332</v>
      </c>
      <c r="CN94" s="4">
        <v>33576155.478333332</v>
      </c>
      <c r="CO94" s="4">
        <v>33576155.478333332</v>
      </c>
      <c r="CP94" s="4">
        <v>33576155.478333332</v>
      </c>
      <c r="CQ94" s="4">
        <v>33576155.478333332</v>
      </c>
      <c r="CR94" s="4">
        <v>33576155.478333332</v>
      </c>
      <c r="CS94" s="4">
        <v>33576155.478333332</v>
      </c>
    </row>
    <row r="95" spans="1:97" x14ac:dyDescent="0.25">
      <c r="A95" t="s">
        <v>111</v>
      </c>
      <c r="C95" s="23">
        <v>0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  <c r="L95" s="23">
        <v>0</v>
      </c>
      <c r="M95" s="4">
        <v>0</v>
      </c>
      <c r="N95" s="4">
        <v>0</v>
      </c>
      <c r="O95" s="23">
        <v>0</v>
      </c>
      <c r="P95" s="4">
        <v>0</v>
      </c>
      <c r="Q95" s="4">
        <v>0</v>
      </c>
      <c r="R95" s="4">
        <v>0</v>
      </c>
      <c r="S95" s="4">
        <v>0</v>
      </c>
      <c r="T95" s="23">
        <v>0</v>
      </c>
      <c r="U95" s="39">
        <v>0</v>
      </c>
      <c r="V95" s="39">
        <v>0</v>
      </c>
      <c r="W95" s="39">
        <v>0</v>
      </c>
      <c r="X95" s="39">
        <v>0</v>
      </c>
      <c r="Y95" s="23">
        <v>0</v>
      </c>
      <c r="Z95" s="39">
        <v>0</v>
      </c>
      <c r="AA95" s="39">
        <v>0</v>
      </c>
      <c r="AB95" s="39">
        <v>0</v>
      </c>
      <c r="AC95" s="39">
        <v>0</v>
      </c>
      <c r="AD95" s="4">
        <v>0</v>
      </c>
      <c r="AE95" s="4">
        <v>0</v>
      </c>
      <c r="AF95" s="4">
        <v>0</v>
      </c>
      <c r="AG95" s="4">
        <v>0</v>
      </c>
      <c r="AH95" s="4">
        <v>0</v>
      </c>
      <c r="AI95" s="4">
        <v>0</v>
      </c>
      <c r="AJ95" s="23">
        <v>0</v>
      </c>
      <c r="AK95" s="39">
        <v>0</v>
      </c>
      <c r="AL95" s="39">
        <v>0</v>
      </c>
      <c r="AM95" s="39">
        <v>0</v>
      </c>
      <c r="AN95" s="39">
        <v>0</v>
      </c>
      <c r="AO95" s="4">
        <v>0</v>
      </c>
      <c r="AP95" s="23">
        <v>0</v>
      </c>
      <c r="AQ95" s="4">
        <v>0</v>
      </c>
      <c r="AR95" s="4">
        <v>0</v>
      </c>
      <c r="AS95" s="4">
        <v>0</v>
      </c>
      <c r="AT95" s="4">
        <v>0</v>
      </c>
      <c r="AU95" s="4">
        <v>0</v>
      </c>
      <c r="AV95" s="23">
        <v>0</v>
      </c>
      <c r="AW95" s="4">
        <v>0</v>
      </c>
      <c r="AX95" s="4">
        <v>0</v>
      </c>
      <c r="AY95" s="4">
        <v>0</v>
      </c>
      <c r="AZ95" s="4">
        <v>0</v>
      </c>
      <c r="BA95" s="4">
        <v>0</v>
      </c>
      <c r="BB95" s="23">
        <v>0</v>
      </c>
      <c r="BC95" s="4">
        <v>0</v>
      </c>
      <c r="BD95" s="4">
        <v>0</v>
      </c>
      <c r="BE95" s="4">
        <v>0</v>
      </c>
      <c r="BF95" s="4">
        <v>0</v>
      </c>
      <c r="BG95" s="4">
        <v>0</v>
      </c>
      <c r="BH95" s="4">
        <v>0</v>
      </c>
      <c r="BI95" s="23">
        <v>0</v>
      </c>
      <c r="BJ95" s="35">
        <v>0</v>
      </c>
      <c r="BK95" s="4">
        <v>0</v>
      </c>
      <c r="BL95" s="35">
        <v>0</v>
      </c>
      <c r="BM95" s="4">
        <v>0</v>
      </c>
      <c r="BN95" s="4">
        <v>0</v>
      </c>
      <c r="BO95" s="4">
        <v>0</v>
      </c>
      <c r="BP95" s="4">
        <v>0</v>
      </c>
      <c r="BQ95" s="35">
        <v>0</v>
      </c>
      <c r="BR95" s="4">
        <v>0</v>
      </c>
      <c r="BS95" s="35">
        <v>0</v>
      </c>
      <c r="BT95" s="4">
        <v>0</v>
      </c>
      <c r="BU95" s="4">
        <v>0</v>
      </c>
      <c r="BV95" s="4">
        <v>0</v>
      </c>
      <c r="BW95" s="4">
        <v>0</v>
      </c>
      <c r="BX95" s="4">
        <v>0</v>
      </c>
      <c r="BY95" s="4">
        <v>0</v>
      </c>
      <c r="BZ95" s="4">
        <v>0</v>
      </c>
      <c r="CA95" s="4">
        <v>0</v>
      </c>
      <c r="CB95" s="4">
        <v>0</v>
      </c>
      <c r="CC95" s="4">
        <v>0</v>
      </c>
      <c r="CD95" s="4">
        <v>0</v>
      </c>
      <c r="CE95" s="4">
        <v>0</v>
      </c>
      <c r="CF95" s="4">
        <v>0</v>
      </c>
      <c r="CG95" s="4">
        <v>0</v>
      </c>
      <c r="CH95" s="4">
        <v>0</v>
      </c>
      <c r="CI95" s="4">
        <v>0</v>
      </c>
      <c r="CJ95" s="35">
        <v>0</v>
      </c>
      <c r="CK95" s="4">
        <v>0</v>
      </c>
      <c r="CL95" s="35">
        <v>0</v>
      </c>
      <c r="CM95" s="4">
        <v>0</v>
      </c>
      <c r="CN95" s="4">
        <v>0</v>
      </c>
      <c r="CO95" s="4">
        <v>0</v>
      </c>
      <c r="CP95" s="4">
        <v>0</v>
      </c>
      <c r="CQ95" s="4">
        <v>0</v>
      </c>
      <c r="CR95" s="4">
        <v>0</v>
      </c>
      <c r="CS95" s="4">
        <v>0</v>
      </c>
    </row>
    <row r="96" spans="1:97" x14ac:dyDescent="0.25">
      <c r="A96" t="s">
        <v>112</v>
      </c>
      <c r="C96" s="23">
        <v>0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  <c r="L96" s="23">
        <v>0</v>
      </c>
      <c r="M96" s="4">
        <v>0</v>
      </c>
      <c r="N96" s="4">
        <v>0</v>
      </c>
      <c r="O96" s="23">
        <v>0</v>
      </c>
      <c r="P96" s="4">
        <v>0</v>
      </c>
      <c r="Q96" s="4">
        <v>175746379.81999999</v>
      </c>
      <c r="R96" s="4">
        <v>175746379.81999999</v>
      </c>
      <c r="S96" s="4">
        <v>175746379.81999999</v>
      </c>
      <c r="T96" s="23">
        <v>175746379.81999999</v>
      </c>
      <c r="U96" s="39">
        <v>175746379.81999999</v>
      </c>
      <c r="V96" s="39">
        <v>175746379.81999999</v>
      </c>
      <c r="W96" s="39">
        <v>175746379.81999999</v>
      </c>
      <c r="X96" s="39">
        <v>175746379.81999999</v>
      </c>
      <c r="Y96" s="23">
        <v>175746379.81999999</v>
      </c>
      <c r="Z96" s="39">
        <v>175746379.81999999</v>
      </c>
      <c r="AA96" s="39">
        <v>175746379.81999999</v>
      </c>
      <c r="AB96" s="39">
        <v>175746379.81999999</v>
      </c>
      <c r="AC96" s="39">
        <v>175746379.81999999</v>
      </c>
      <c r="AD96" s="4">
        <v>175746379.81999999</v>
      </c>
      <c r="AE96" s="4">
        <v>175746379.81999999</v>
      </c>
      <c r="AF96" s="4">
        <v>25000000</v>
      </c>
      <c r="AG96" s="4">
        <v>25000000</v>
      </c>
      <c r="AH96" s="4">
        <v>25000000</v>
      </c>
      <c r="AI96" s="4">
        <v>25000000</v>
      </c>
      <c r="AJ96" s="23">
        <v>25000000</v>
      </c>
      <c r="AK96" s="39">
        <v>25000000</v>
      </c>
      <c r="AL96" s="39">
        <v>25000000</v>
      </c>
      <c r="AM96" s="39">
        <v>25000000</v>
      </c>
      <c r="AN96" s="39">
        <v>25000000</v>
      </c>
      <c r="AO96" s="4">
        <v>25000000</v>
      </c>
      <c r="AP96" s="23">
        <v>25000000</v>
      </c>
      <c r="AQ96" s="4">
        <v>25000000</v>
      </c>
      <c r="AR96" s="4">
        <v>25000000</v>
      </c>
      <c r="AS96" s="4">
        <v>25000000</v>
      </c>
      <c r="AT96" s="4">
        <v>25000000</v>
      </c>
      <c r="AU96" s="4">
        <v>25000000</v>
      </c>
      <c r="AV96" s="23">
        <v>25000000</v>
      </c>
      <c r="AW96" s="4">
        <v>25000000</v>
      </c>
      <c r="AX96" s="4">
        <v>25000000</v>
      </c>
      <c r="AY96" s="4">
        <v>25000000</v>
      </c>
      <c r="AZ96" s="4">
        <v>25000000</v>
      </c>
      <c r="BA96" s="4">
        <v>25000000</v>
      </c>
      <c r="BB96" s="23">
        <v>25000000</v>
      </c>
      <c r="BC96" s="4">
        <v>25000000</v>
      </c>
      <c r="BD96" s="4">
        <v>25000000</v>
      </c>
      <c r="BE96" s="4">
        <v>25000000</v>
      </c>
      <c r="BF96" s="4">
        <v>25000000</v>
      </c>
      <c r="BG96" s="4">
        <v>0</v>
      </c>
      <c r="BH96" s="4">
        <v>0</v>
      </c>
      <c r="BI96" s="23">
        <v>0</v>
      </c>
      <c r="BJ96" s="35">
        <v>0</v>
      </c>
      <c r="BK96" s="4">
        <v>0</v>
      </c>
      <c r="BL96" s="35">
        <v>0</v>
      </c>
      <c r="BM96" s="4">
        <v>0</v>
      </c>
      <c r="BN96" s="4">
        <v>0</v>
      </c>
      <c r="BO96" s="4">
        <v>0</v>
      </c>
      <c r="BP96" s="4">
        <v>0</v>
      </c>
      <c r="BQ96" s="35">
        <v>0</v>
      </c>
      <c r="BR96" s="4">
        <v>0</v>
      </c>
      <c r="BS96" s="35">
        <v>0</v>
      </c>
      <c r="BT96" s="4">
        <v>0</v>
      </c>
      <c r="BU96" s="4">
        <v>0</v>
      </c>
      <c r="BV96" s="4">
        <v>0</v>
      </c>
      <c r="BW96" s="4">
        <v>0</v>
      </c>
      <c r="BX96" s="4">
        <v>0</v>
      </c>
      <c r="BY96" s="4">
        <v>0</v>
      </c>
      <c r="BZ96" s="4">
        <v>0</v>
      </c>
      <c r="CA96" s="4">
        <v>0</v>
      </c>
      <c r="CB96" s="4">
        <v>0</v>
      </c>
      <c r="CC96" s="4">
        <v>0</v>
      </c>
      <c r="CD96" s="4">
        <v>0</v>
      </c>
      <c r="CE96" s="4">
        <v>0</v>
      </c>
      <c r="CF96" s="4">
        <v>0</v>
      </c>
      <c r="CG96" s="4">
        <v>0</v>
      </c>
      <c r="CH96" s="4">
        <v>0</v>
      </c>
      <c r="CI96" s="4">
        <v>0</v>
      </c>
      <c r="CJ96" s="35">
        <v>0</v>
      </c>
      <c r="CK96" s="4">
        <v>0</v>
      </c>
      <c r="CL96" s="35">
        <v>0</v>
      </c>
      <c r="CM96" s="4">
        <v>0</v>
      </c>
      <c r="CN96" s="4">
        <v>0</v>
      </c>
      <c r="CO96" s="4">
        <v>0</v>
      </c>
      <c r="CP96" s="4">
        <v>0</v>
      </c>
      <c r="CQ96" s="4">
        <v>0</v>
      </c>
      <c r="CR96" s="4">
        <v>0</v>
      </c>
      <c r="CS96" s="4">
        <v>0</v>
      </c>
    </row>
    <row r="97" spans="1:97" x14ac:dyDescent="0.25">
      <c r="A97" t="s">
        <v>113</v>
      </c>
      <c r="C97" s="23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v>0</v>
      </c>
      <c r="K97" s="4">
        <v>0</v>
      </c>
      <c r="L97" s="23">
        <v>0</v>
      </c>
      <c r="M97" s="4">
        <v>0</v>
      </c>
      <c r="N97" s="4">
        <v>0</v>
      </c>
      <c r="O97" s="23">
        <v>0</v>
      </c>
      <c r="P97" s="4">
        <v>0</v>
      </c>
      <c r="Q97" s="4">
        <v>0</v>
      </c>
      <c r="R97" s="4">
        <v>0</v>
      </c>
      <c r="S97" s="4">
        <v>0</v>
      </c>
      <c r="T97" s="23">
        <v>0</v>
      </c>
      <c r="U97" s="39">
        <v>0</v>
      </c>
      <c r="V97" s="39">
        <v>0</v>
      </c>
      <c r="W97" s="39">
        <v>0</v>
      </c>
      <c r="X97" s="39">
        <v>0</v>
      </c>
      <c r="Y97" s="23">
        <v>0</v>
      </c>
      <c r="Z97" s="39">
        <v>0</v>
      </c>
      <c r="AA97" s="39">
        <v>0</v>
      </c>
      <c r="AB97" s="39">
        <v>0</v>
      </c>
      <c r="AC97" s="39">
        <v>0</v>
      </c>
      <c r="AD97" s="4">
        <v>0</v>
      </c>
      <c r="AE97" s="4">
        <v>0</v>
      </c>
      <c r="AF97" s="4">
        <v>0</v>
      </c>
      <c r="AG97" s="4">
        <v>0</v>
      </c>
      <c r="AH97" s="4">
        <v>0</v>
      </c>
      <c r="AI97" s="4">
        <v>0</v>
      </c>
      <c r="AJ97" s="23">
        <v>0</v>
      </c>
      <c r="AK97" s="39">
        <v>0</v>
      </c>
      <c r="AL97" s="39">
        <v>0</v>
      </c>
      <c r="AM97" s="39">
        <v>0</v>
      </c>
      <c r="AN97" s="39">
        <v>0</v>
      </c>
      <c r="AO97" s="4">
        <v>0</v>
      </c>
      <c r="AP97" s="23">
        <v>0</v>
      </c>
      <c r="AQ97" s="4">
        <v>0</v>
      </c>
      <c r="AR97" s="4">
        <v>0</v>
      </c>
      <c r="AS97" s="4">
        <v>0</v>
      </c>
      <c r="AT97" s="4">
        <v>0</v>
      </c>
      <c r="AU97" s="4">
        <v>0</v>
      </c>
      <c r="AV97" s="23">
        <v>0</v>
      </c>
      <c r="AW97" s="4">
        <v>0</v>
      </c>
      <c r="AX97" s="4">
        <v>0</v>
      </c>
      <c r="AY97" s="4">
        <v>0</v>
      </c>
      <c r="AZ97" s="4">
        <v>0</v>
      </c>
      <c r="BA97" s="4">
        <v>0</v>
      </c>
      <c r="BB97" s="23">
        <v>0</v>
      </c>
      <c r="BC97" s="4">
        <v>0</v>
      </c>
      <c r="BD97" s="4">
        <v>0</v>
      </c>
      <c r="BE97" s="4">
        <v>0</v>
      </c>
      <c r="BF97" s="4">
        <v>0</v>
      </c>
      <c r="BG97" s="4">
        <v>0</v>
      </c>
      <c r="BH97" s="4">
        <v>0</v>
      </c>
      <c r="BI97" s="23">
        <v>0</v>
      </c>
      <c r="BJ97" s="35">
        <v>0</v>
      </c>
      <c r="BK97" s="4">
        <v>0</v>
      </c>
      <c r="BL97" s="35">
        <v>0</v>
      </c>
      <c r="BM97" s="4">
        <v>0</v>
      </c>
      <c r="BN97" s="4">
        <v>0</v>
      </c>
      <c r="BO97" s="4">
        <v>0</v>
      </c>
      <c r="BP97" s="4">
        <v>0</v>
      </c>
      <c r="BQ97" s="35">
        <v>0</v>
      </c>
      <c r="BR97" s="4">
        <v>0</v>
      </c>
      <c r="BS97" s="35">
        <v>0</v>
      </c>
      <c r="BT97" s="4">
        <v>0</v>
      </c>
      <c r="BU97" s="4">
        <v>0</v>
      </c>
      <c r="BV97" s="4">
        <v>0</v>
      </c>
      <c r="BW97" s="4">
        <v>0</v>
      </c>
      <c r="BX97" s="4">
        <v>0</v>
      </c>
      <c r="BY97" s="4">
        <v>0</v>
      </c>
      <c r="BZ97" s="4">
        <v>0</v>
      </c>
      <c r="CA97" s="4">
        <v>0</v>
      </c>
      <c r="CB97" s="4">
        <v>0</v>
      </c>
      <c r="CC97" s="4">
        <v>0</v>
      </c>
      <c r="CD97" s="4">
        <v>0</v>
      </c>
      <c r="CE97" s="4">
        <v>0</v>
      </c>
      <c r="CF97" s="4">
        <v>0</v>
      </c>
      <c r="CG97" s="4">
        <v>0</v>
      </c>
      <c r="CH97" s="4">
        <v>0</v>
      </c>
      <c r="CI97" s="4">
        <v>0</v>
      </c>
      <c r="CJ97" s="35">
        <v>0</v>
      </c>
      <c r="CK97" s="4">
        <v>0</v>
      </c>
      <c r="CL97" s="35">
        <v>0</v>
      </c>
      <c r="CM97" s="4">
        <v>0</v>
      </c>
      <c r="CN97" s="4">
        <v>0</v>
      </c>
      <c r="CO97" s="4">
        <v>0</v>
      </c>
      <c r="CP97" s="4">
        <v>0</v>
      </c>
      <c r="CQ97" s="4">
        <v>0</v>
      </c>
      <c r="CR97" s="4">
        <v>0</v>
      </c>
      <c r="CS97" s="4">
        <v>0</v>
      </c>
    </row>
    <row r="98" spans="1:97" x14ac:dyDescent="0.25">
      <c r="A98" t="s">
        <v>114</v>
      </c>
      <c r="C98" s="23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v>0</v>
      </c>
      <c r="K98" s="4">
        <v>0</v>
      </c>
      <c r="L98" s="23">
        <v>0</v>
      </c>
      <c r="M98" s="4">
        <v>0</v>
      </c>
      <c r="N98" s="4">
        <v>0</v>
      </c>
      <c r="O98" s="23">
        <v>0</v>
      </c>
      <c r="P98" s="4">
        <v>0</v>
      </c>
      <c r="Q98" s="4">
        <v>0</v>
      </c>
      <c r="R98" s="4">
        <v>0</v>
      </c>
      <c r="S98" s="4">
        <v>0</v>
      </c>
      <c r="T98" s="23">
        <v>0</v>
      </c>
      <c r="U98" s="39">
        <v>0</v>
      </c>
      <c r="V98" s="39">
        <v>0</v>
      </c>
      <c r="W98" s="39">
        <v>0</v>
      </c>
      <c r="X98" s="39">
        <v>0</v>
      </c>
      <c r="Y98" s="23">
        <v>0</v>
      </c>
      <c r="Z98" s="39">
        <v>0</v>
      </c>
      <c r="AA98" s="39">
        <v>0</v>
      </c>
      <c r="AB98" s="39">
        <v>0</v>
      </c>
      <c r="AC98" s="39">
        <v>0</v>
      </c>
      <c r="AD98" s="4">
        <v>0</v>
      </c>
      <c r="AE98" s="4">
        <v>0</v>
      </c>
      <c r="AF98" s="4">
        <v>0</v>
      </c>
      <c r="AG98" s="4">
        <v>0</v>
      </c>
      <c r="AH98" s="4">
        <v>0</v>
      </c>
      <c r="AI98" s="4">
        <v>0</v>
      </c>
      <c r="AJ98" s="23">
        <v>0</v>
      </c>
      <c r="AK98" s="39">
        <v>0</v>
      </c>
      <c r="AL98" s="39">
        <v>0</v>
      </c>
      <c r="AM98" s="39">
        <v>0</v>
      </c>
      <c r="AN98" s="39">
        <v>0</v>
      </c>
      <c r="AO98" s="4">
        <v>0</v>
      </c>
      <c r="AP98" s="23">
        <v>0</v>
      </c>
      <c r="AQ98" s="4">
        <v>0</v>
      </c>
      <c r="AR98" s="4">
        <v>0</v>
      </c>
      <c r="AS98" s="4">
        <v>0</v>
      </c>
      <c r="AT98" s="4">
        <v>0</v>
      </c>
      <c r="AU98" s="4">
        <v>0</v>
      </c>
      <c r="AV98" s="23">
        <v>0</v>
      </c>
      <c r="AW98" s="4">
        <v>0</v>
      </c>
      <c r="AX98" s="4">
        <v>0</v>
      </c>
      <c r="AY98" s="4">
        <v>0</v>
      </c>
      <c r="AZ98" s="4">
        <v>0</v>
      </c>
      <c r="BA98" s="4">
        <v>0</v>
      </c>
      <c r="BB98" s="23">
        <v>0</v>
      </c>
      <c r="BC98" s="4">
        <v>0</v>
      </c>
      <c r="BD98" s="4">
        <v>0</v>
      </c>
      <c r="BE98" s="4">
        <v>0</v>
      </c>
      <c r="BF98" s="4">
        <v>0</v>
      </c>
      <c r="BG98" s="4">
        <v>0</v>
      </c>
      <c r="BH98" s="4">
        <v>0</v>
      </c>
      <c r="BI98" s="23">
        <v>0</v>
      </c>
      <c r="BJ98" s="35">
        <v>0</v>
      </c>
      <c r="BK98" s="4">
        <v>0</v>
      </c>
      <c r="BL98" s="35">
        <v>0</v>
      </c>
      <c r="BM98" s="4">
        <v>0</v>
      </c>
      <c r="BN98" s="4">
        <v>0</v>
      </c>
      <c r="BO98" s="4">
        <v>0</v>
      </c>
      <c r="BP98" s="4">
        <v>0</v>
      </c>
      <c r="BQ98" s="35">
        <v>0</v>
      </c>
      <c r="BR98" s="4">
        <v>0</v>
      </c>
      <c r="BS98" s="35">
        <v>0</v>
      </c>
      <c r="BT98" s="4">
        <v>0</v>
      </c>
      <c r="BU98" s="4">
        <v>0</v>
      </c>
      <c r="BV98" s="4">
        <v>0</v>
      </c>
      <c r="BW98" s="4">
        <v>0</v>
      </c>
      <c r="BX98" s="4">
        <v>0</v>
      </c>
      <c r="BY98" s="4">
        <v>0</v>
      </c>
      <c r="BZ98" s="4">
        <v>0</v>
      </c>
      <c r="CA98" s="4">
        <v>0</v>
      </c>
      <c r="CB98" s="4">
        <v>0</v>
      </c>
      <c r="CC98" s="4">
        <v>0</v>
      </c>
      <c r="CD98" s="4">
        <v>0</v>
      </c>
      <c r="CE98" s="4">
        <v>0</v>
      </c>
      <c r="CF98" s="4">
        <v>0</v>
      </c>
      <c r="CG98" s="4">
        <v>0</v>
      </c>
      <c r="CH98" s="4">
        <v>0</v>
      </c>
      <c r="CI98" s="4">
        <v>0</v>
      </c>
      <c r="CJ98" s="35">
        <v>0</v>
      </c>
      <c r="CK98" s="4">
        <v>0</v>
      </c>
      <c r="CL98" s="35">
        <v>0</v>
      </c>
      <c r="CM98" s="4">
        <v>0</v>
      </c>
      <c r="CN98" s="4">
        <v>0</v>
      </c>
      <c r="CO98" s="4">
        <v>0</v>
      </c>
      <c r="CP98" s="4">
        <v>0</v>
      </c>
      <c r="CQ98" s="4">
        <v>0</v>
      </c>
      <c r="CR98" s="4">
        <v>0</v>
      </c>
      <c r="CS98" s="4">
        <v>0</v>
      </c>
    </row>
    <row r="99" spans="1:97" x14ac:dyDescent="0.25">
      <c r="A99" t="s">
        <v>115</v>
      </c>
      <c r="C99" s="23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  <c r="L99" s="23">
        <v>0</v>
      </c>
      <c r="M99" s="4">
        <v>0</v>
      </c>
      <c r="N99" s="4">
        <v>0</v>
      </c>
      <c r="O99" s="23">
        <v>0</v>
      </c>
      <c r="P99" s="4">
        <v>0</v>
      </c>
      <c r="Q99" s="4">
        <v>0</v>
      </c>
      <c r="R99" s="4">
        <v>0</v>
      </c>
      <c r="S99" s="4">
        <v>0</v>
      </c>
      <c r="T99" s="23">
        <v>0</v>
      </c>
      <c r="U99" s="39">
        <v>0</v>
      </c>
      <c r="V99" s="39">
        <v>0</v>
      </c>
      <c r="W99" s="39">
        <v>0</v>
      </c>
      <c r="X99" s="39">
        <v>0</v>
      </c>
      <c r="Y99" s="23">
        <v>0</v>
      </c>
      <c r="Z99" s="39">
        <v>0</v>
      </c>
      <c r="AA99" s="39">
        <v>0</v>
      </c>
      <c r="AB99" s="39">
        <v>0</v>
      </c>
      <c r="AC99" s="39">
        <v>0</v>
      </c>
      <c r="AD99" s="4">
        <v>0</v>
      </c>
      <c r="AE99" s="4">
        <v>0</v>
      </c>
      <c r="AF99" s="4">
        <v>0</v>
      </c>
      <c r="AG99" s="4">
        <v>0</v>
      </c>
      <c r="AH99" s="4">
        <v>0</v>
      </c>
      <c r="AI99" s="4">
        <v>0</v>
      </c>
      <c r="AJ99" s="23">
        <v>0</v>
      </c>
      <c r="AK99" s="39">
        <v>0</v>
      </c>
      <c r="AL99" s="39">
        <v>0</v>
      </c>
      <c r="AM99" s="39">
        <v>0</v>
      </c>
      <c r="AN99" s="39">
        <v>0</v>
      </c>
      <c r="AO99" s="4">
        <v>0</v>
      </c>
      <c r="AP99" s="23">
        <v>0</v>
      </c>
      <c r="AQ99" s="4">
        <v>0</v>
      </c>
      <c r="AR99" s="4">
        <v>0</v>
      </c>
      <c r="AS99" s="4">
        <v>0</v>
      </c>
      <c r="AT99" s="4">
        <v>0</v>
      </c>
      <c r="AU99" s="4">
        <v>0</v>
      </c>
      <c r="AV99" s="23">
        <v>0</v>
      </c>
      <c r="AW99" s="4">
        <v>0</v>
      </c>
      <c r="AX99" s="4">
        <v>0</v>
      </c>
      <c r="AY99" s="4">
        <v>0</v>
      </c>
      <c r="AZ99" s="4">
        <v>0</v>
      </c>
      <c r="BA99" s="4">
        <v>0</v>
      </c>
      <c r="BB99" s="23">
        <v>0</v>
      </c>
      <c r="BC99" s="4">
        <v>0</v>
      </c>
      <c r="BD99" s="4">
        <v>0</v>
      </c>
      <c r="BE99" s="4">
        <v>0</v>
      </c>
      <c r="BF99" s="4">
        <v>0</v>
      </c>
      <c r="BG99" s="4">
        <v>0</v>
      </c>
      <c r="BH99" s="4">
        <v>0</v>
      </c>
      <c r="BI99" s="23">
        <v>0</v>
      </c>
      <c r="BJ99" s="35">
        <v>0</v>
      </c>
      <c r="BK99" s="4">
        <v>0</v>
      </c>
      <c r="BL99" s="35">
        <v>0</v>
      </c>
      <c r="BM99" s="4">
        <v>0</v>
      </c>
      <c r="BN99" s="4">
        <v>0</v>
      </c>
      <c r="BO99" s="4">
        <v>0</v>
      </c>
      <c r="BP99" s="4">
        <v>0</v>
      </c>
      <c r="BQ99" s="35">
        <v>0</v>
      </c>
      <c r="BR99" s="4">
        <v>0</v>
      </c>
      <c r="BS99" s="35">
        <v>0</v>
      </c>
      <c r="BT99" s="4">
        <v>0</v>
      </c>
      <c r="BU99" s="4">
        <v>0</v>
      </c>
      <c r="BV99" s="4">
        <v>0</v>
      </c>
      <c r="BW99" s="4">
        <v>0</v>
      </c>
      <c r="BX99" s="4">
        <v>0</v>
      </c>
      <c r="BY99" s="4">
        <v>0</v>
      </c>
      <c r="BZ99" s="4">
        <v>0</v>
      </c>
      <c r="CA99" s="4">
        <v>0</v>
      </c>
      <c r="CB99" s="4">
        <v>0</v>
      </c>
      <c r="CC99" s="4">
        <v>0</v>
      </c>
      <c r="CD99" s="4">
        <v>0</v>
      </c>
      <c r="CE99" s="4">
        <v>0</v>
      </c>
      <c r="CF99" s="4">
        <v>0</v>
      </c>
      <c r="CG99" s="4">
        <v>0</v>
      </c>
      <c r="CH99" s="4">
        <v>0</v>
      </c>
      <c r="CI99" s="4">
        <v>0</v>
      </c>
      <c r="CJ99" s="35">
        <v>0</v>
      </c>
      <c r="CK99" s="4">
        <v>0</v>
      </c>
      <c r="CL99" s="35">
        <v>0</v>
      </c>
      <c r="CM99" s="4">
        <v>0</v>
      </c>
      <c r="CN99" s="4">
        <v>0</v>
      </c>
      <c r="CO99" s="4">
        <v>0</v>
      </c>
      <c r="CP99" s="4">
        <v>0</v>
      </c>
      <c r="CQ99" s="4">
        <v>0</v>
      </c>
      <c r="CR99" s="4">
        <v>0</v>
      </c>
      <c r="CS99" s="4">
        <v>0</v>
      </c>
    </row>
    <row r="100" spans="1:97" x14ac:dyDescent="0.25">
      <c r="A100" t="s">
        <v>116</v>
      </c>
      <c r="C100" s="23">
        <v>10367911.049999999</v>
      </c>
      <c r="D100" s="4">
        <v>10367911.049999999</v>
      </c>
      <c r="E100" s="4">
        <v>10367911.049999999</v>
      </c>
      <c r="F100" s="4">
        <v>10367911.049999999</v>
      </c>
      <c r="G100" s="4">
        <v>10367911.049999999</v>
      </c>
      <c r="H100" s="4">
        <v>10367911.049999999</v>
      </c>
      <c r="I100" s="4">
        <v>10367911.049999999</v>
      </c>
      <c r="J100" s="4">
        <v>10367911.049999999</v>
      </c>
      <c r="K100" s="4">
        <v>10367911.049999999</v>
      </c>
      <c r="L100" s="23">
        <v>10367911.049999999</v>
      </c>
      <c r="M100" s="4">
        <v>10367911.049999999</v>
      </c>
      <c r="N100" s="4">
        <v>10367911.049999999</v>
      </c>
      <c r="O100" s="23">
        <v>10367911.049999999</v>
      </c>
      <c r="P100" s="4">
        <v>10367911.049999999</v>
      </c>
      <c r="Q100" s="4">
        <v>0</v>
      </c>
      <c r="R100" s="4">
        <v>0</v>
      </c>
      <c r="S100" s="4">
        <v>0</v>
      </c>
      <c r="T100" s="23">
        <v>0</v>
      </c>
      <c r="U100" s="39">
        <v>0</v>
      </c>
      <c r="V100" s="39">
        <v>0</v>
      </c>
      <c r="W100" s="39">
        <v>0</v>
      </c>
      <c r="X100" s="39">
        <v>0</v>
      </c>
      <c r="Y100" s="23">
        <v>0</v>
      </c>
      <c r="Z100" s="39">
        <v>0</v>
      </c>
      <c r="AA100" s="39">
        <v>0</v>
      </c>
      <c r="AB100" s="39">
        <v>0</v>
      </c>
      <c r="AC100" s="39">
        <v>0</v>
      </c>
      <c r="AD100" s="43">
        <v>0</v>
      </c>
      <c r="AE100" s="4">
        <v>0</v>
      </c>
      <c r="AF100" s="4">
        <v>0</v>
      </c>
      <c r="AG100" s="4">
        <v>0</v>
      </c>
      <c r="AH100" s="4">
        <v>0</v>
      </c>
      <c r="AI100" s="4">
        <v>0</v>
      </c>
      <c r="AJ100" s="23">
        <v>0</v>
      </c>
      <c r="AK100" s="39">
        <v>0</v>
      </c>
      <c r="AL100" s="39">
        <v>0</v>
      </c>
      <c r="AM100" s="39">
        <v>0</v>
      </c>
      <c r="AN100" s="39">
        <v>0</v>
      </c>
      <c r="AO100" s="4">
        <v>0</v>
      </c>
      <c r="AP100" s="23">
        <v>0</v>
      </c>
      <c r="AQ100" s="4">
        <v>0</v>
      </c>
      <c r="AR100" s="4">
        <v>0</v>
      </c>
      <c r="AS100" s="4">
        <v>0</v>
      </c>
      <c r="AT100" s="4">
        <v>0</v>
      </c>
      <c r="AU100" s="4">
        <v>0</v>
      </c>
      <c r="AV100" s="23">
        <v>0</v>
      </c>
      <c r="AW100" s="4">
        <v>0</v>
      </c>
      <c r="AX100" s="4">
        <v>0</v>
      </c>
      <c r="AY100" s="4">
        <v>0</v>
      </c>
      <c r="AZ100" s="4">
        <v>0</v>
      </c>
      <c r="BA100" s="4">
        <v>0</v>
      </c>
      <c r="BB100" s="23">
        <v>0</v>
      </c>
      <c r="BC100" s="4">
        <v>0</v>
      </c>
      <c r="BD100" s="4">
        <v>0</v>
      </c>
      <c r="BE100" s="4">
        <v>0</v>
      </c>
      <c r="BF100" s="43">
        <v>0</v>
      </c>
      <c r="BG100" s="4">
        <v>0</v>
      </c>
      <c r="BH100" s="4">
        <v>0</v>
      </c>
      <c r="BI100" s="23">
        <v>0</v>
      </c>
      <c r="BJ100" s="35">
        <v>0</v>
      </c>
      <c r="BK100" s="4">
        <v>0</v>
      </c>
      <c r="BL100" s="35">
        <v>0</v>
      </c>
      <c r="BM100" s="4">
        <v>0</v>
      </c>
      <c r="BN100" s="4">
        <v>0</v>
      </c>
      <c r="BO100" s="4">
        <v>0</v>
      </c>
      <c r="BP100" s="4">
        <v>0</v>
      </c>
      <c r="BQ100" s="35">
        <v>0</v>
      </c>
      <c r="BR100" s="4">
        <v>0</v>
      </c>
      <c r="BS100" s="35">
        <v>0</v>
      </c>
      <c r="BT100" s="4">
        <v>0</v>
      </c>
      <c r="BU100" s="4">
        <v>0</v>
      </c>
      <c r="BV100" s="4">
        <v>0</v>
      </c>
      <c r="BW100" s="4">
        <v>0</v>
      </c>
      <c r="BX100" s="4">
        <v>0</v>
      </c>
      <c r="BY100" s="4">
        <v>0</v>
      </c>
      <c r="BZ100" s="4">
        <v>0</v>
      </c>
      <c r="CA100" s="4">
        <v>0</v>
      </c>
      <c r="CB100" s="4">
        <v>0</v>
      </c>
      <c r="CC100" s="4">
        <v>0</v>
      </c>
      <c r="CD100" s="4">
        <v>0</v>
      </c>
      <c r="CE100" s="4">
        <v>0</v>
      </c>
      <c r="CF100" s="4">
        <v>0</v>
      </c>
      <c r="CG100" s="4">
        <v>0</v>
      </c>
      <c r="CH100" s="4">
        <v>0</v>
      </c>
      <c r="CI100" s="4">
        <v>0</v>
      </c>
      <c r="CJ100" s="35">
        <v>0</v>
      </c>
      <c r="CK100" s="4">
        <v>0</v>
      </c>
      <c r="CL100" s="35">
        <v>0</v>
      </c>
      <c r="CM100" s="4">
        <v>0</v>
      </c>
      <c r="CN100" s="4">
        <v>0</v>
      </c>
      <c r="CO100" s="4">
        <v>0</v>
      </c>
      <c r="CP100" s="4">
        <v>0</v>
      </c>
      <c r="CQ100" s="4">
        <v>0</v>
      </c>
      <c r="CR100" s="4">
        <v>0</v>
      </c>
      <c r="CS100" s="4">
        <v>0</v>
      </c>
    </row>
    <row r="101" spans="1:97" x14ac:dyDescent="0.25">
      <c r="A101" t="s">
        <v>117</v>
      </c>
      <c r="C101" s="23">
        <v>3637559.9258965962</v>
      </c>
      <c r="D101" s="4">
        <v>3637559.9258965962</v>
      </c>
      <c r="E101" s="4">
        <v>3637559.9258965962</v>
      </c>
      <c r="F101" s="4">
        <v>3637559.9258965962</v>
      </c>
      <c r="G101" s="4">
        <v>3637559.9258965962</v>
      </c>
      <c r="H101" s="4">
        <v>3637559.9258965962</v>
      </c>
      <c r="I101" s="4">
        <v>3637559.9258965962</v>
      </c>
      <c r="J101" s="4">
        <v>3637559.9258965962</v>
      </c>
      <c r="K101" s="4">
        <v>3637559.9258965962</v>
      </c>
      <c r="L101" s="23">
        <v>3637559.9258965962</v>
      </c>
      <c r="M101" s="4">
        <v>3637559.9258965962</v>
      </c>
      <c r="N101" s="4">
        <v>3637559.9258965962</v>
      </c>
      <c r="O101" s="23">
        <v>3637559.9258965962</v>
      </c>
      <c r="P101" s="4">
        <v>3637559.9258965962</v>
      </c>
      <c r="Q101" s="4">
        <v>1514854.2835248041</v>
      </c>
      <c r="R101" s="4">
        <v>1514854.2835248041</v>
      </c>
      <c r="S101" s="4">
        <v>1514854.2835248041</v>
      </c>
      <c r="T101" s="23">
        <v>1514854.2835248041</v>
      </c>
      <c r="U101" s="39">
        <v>1514854.2835248041</v>
      </c>
      <c r="V101" s="39">
        <v>1514854.2835248041</v>
      </c>
      <c r="W101" s="39">
        <v>1514854.2835248041</v>
      </c>
      <c r="X101" s="39">
        <v>1514854.2835248041</v>
      </c>
      <c r="Y101" s="23">
        <v>1514854.2835248041</v>
      </c>
      <c r="Z101" s="39">
        <v>1514854.2835248041</v>
      </c>
      <c r="AA101" s="39">
        <v>1514854.2835248041</v>
      </c>
      <c r="AB101" s="39">
        <v>1514854.2835248041</v>
      </c>
      <c r="AC101" s="39">
        <v>1514854.2835248041</v>
      </c>
      <c r="AD101" s="43">
        <v>1514854.2835248041</v>
      </c>
      <c r="AE101" s="4">
        <v>1514854.2835248041</v>
      </c>
      <c r="AF101" s="4">
        <v>0</v>
      </c>
      <c r="AG101" s="4">
        <v>0</v>
      </c>
      <c r="AH101" s="4">
        <v>0</v>
      </c>
      <c r="AI101" s="4">
        <v>0</v>
      </c>
      <c r="AJ101" s="23">
        <v>0</v>
      </c>
      <c r="AK101" s="39">
        <v>0</v>
      </c>
      <c r="AL101" s="39">
        <v>0</v>
      </c>
      <c r="AM101" s="39">
        <v>0</v>
      </c>
      <c r="AN101" s="39">
        <v>0</v>
      </c>
      <c r="AO101" s="4">
        <v>0</v>
      </c>
      <c r="AP101" s="23">
        <v>0</v>
      </c>
      <c r="AQ101" s="4">
        <v>0</v>
      </c>
      <c r="AR101" s="4">
        <v>0</v>
      </c>
      <c r="AS101" s="4">
        <v>0</v>
      </c>
      <c r="AT101" s="4">
        <v>0</v>
      </c>
      <c r="AU101" s="4">
        <v>0</v>
      </c>
      <c r="AV101" s="23">
        <v>0</v>
      </c>
      <c r="AW101" s="4">
        <v>0</v>
      </c>
      <c r="AX101" s="4">
        <v>0</v>
      </c>
      <c r="AY101" s="4">
        <v>0</v>
      </c>
      <c r="AZ101" s="4">
        <v>0</v>
      </c>
      <c r="BA101" s="4">
        <v>0</v>
      </c>
      <c r="BB101" s="23">
        <v>0</v>
      </c>
      <c r="BC101" s="4">
        <v>0</v>
      </c>
      <c r="BD101" s="4">
        <v>0</v>
      </c>
      <c r="BE101" s="4">
        <v>0</v>
      </c>
      <c r="BF101" s="43">
        <v>0</v>
      </c>
      <c r="BG101" s="4">
        <v>316.9462996732218</v>
      </c>
      <c r="BH101" s="4">
        <v>316.9462996732218</v>
      </c>
      <c r="BI101" s="23">
        <v>316.9462996732218</v>
      </c>
      <c r="BJ101" s="35">
        <v>316.9462996732218</v>
      </c>
      <c r="BK101" s="4">
        <v>316.9462996732218</v>
      </c>
      <c r="BL101" s="35">
        <v>316.9462996732218</v>
      </c>
      <c r="BM101" s="4">
        <v>316.9462996732218</v>
      </c>
      <c r="BN101" s="4">
        <v>316.9462996732218</v>
      </c>
      <c r="BO101" s="4">
        <v>316.9462996732218</v>
      </c>
      <c r="BP101" s="4">
        <v>316.9462996732218</v>
      </c>
      <c r="BQ101" s="35">
        <v>316.9462996732218</v>
      </c>
      <c r="BR101" s="4">
        <v>316.9462996732218</v>
      </c>
      <c r="BS101" s="35">
        <v>316.9462996732218</v>
      </c>
      <c r="BT101" s="4">
        <v>316.9462996732218</v>
      </c>
      <c r="BU101" s="4">
        <v>316.9462996732218</v>
      </c>
      <c r="BV101" s="4">
        <v>316.9462996732218</v>
      </c>
      <c r="BW101" s="4">
        <v>316.9462996732218</v>
      </c>
      <c r="BX101" s="4">
        <v>316.9462996732218</v>
      </c>
      <c r="BY101" s="4">
        <v>316.9462996732218</v>
      </c>
      <c r="BZ101" s="4">
        <v>316.9462996732218</v>
      </c>
      <c r="CA101" s="4">
        <v>316.9462996732218</v>
      </c>
      <c r="CB101" s="4">
        <v>316.9462996732218</v>
      </c>
      <c r="CC101" s="4">
        <v>316.9462996732218</v>
      </c>
      <c r="CD101" s="4">
        <v>316.9462996732218</v>
      </c>
      <c r="CE101" s="4">
        <v>316.9462996732218</v>
      </c>
      <c r="CF101" s="4">
        <v>316.9462996732218</v>
      </c>
      <c r="CG101" s="4">
        <v>316.9462996732218</v>
      </c>
      <c r="CH101" s="4">
        <v>316.9462996732218</v>
      </c>
      <c r="CI101" s="4">
        <v>316.9462996732218</v>
      </c>
      <c r="CJ101" s="35">
        <v>316.9462996732218</v>
      </c>
      <c r="CK101" s="4">
        <v>316.9462996732218</v>
      </c>
      <c r="CL101" s="35">
        <v>316.9462996732218</v>
      </c>
      <c r="CM101" s="4">
        <v>316.9462996732218</v>
      </c>
      <c r="CN101" s="4">
        <v>316.9462996732218</v>
      </c>
      <c r="CO101" s="4">
        <v>316.9462996732218</v>
      </c>
      <c r="CP101" s="4">
        <v>316.9462996732218</v>
      </c>
      <c r="CQ101" s="4">
        <v>316.9462996732218</v>
      </c>
      <c r="CR101" s="4">
        <v>316.9462996732218</v>
      </c>
      <c r="CS101" s="4">
        <v>316.9462996732218</v>
      </c>
    </row>
    <row r="102" spans="1:97" x14ac:dyDescent="0.25">
      <c r="A102" t="s">
        <v>118</v>
      </c>
      <c r="C102" s="23">
        <v>65672789.189999998</v>
      </c>
      <c r="D102" s="4">
        <v>65672789.189999998</v>
      </c>
      <c r="E102" s="4">
        <v>65672789.189999998</v>
      </c>
      <c r="F102" s="4">
        <v>65672789.189999998</v>
      </c>
      <c r="G102" s="4">
        <v>65672789.189999998</v>
      </c>
      <c r="H102" s="4">
        <v>65672789.189999998</v>
      </c>
      <c r="I102" s="4">
        <v>65672789.189999998</v>
      </c>
      <c r="J102" s="4">
        <v>65672789.189999998</v>
      </c>
      <c r="K102" s="4">
        <v>65672789.189999998</v>
      </c>
      <c r="L102" s="23">
        <v>65672789.189999998</v>
      </c>
      <c r="M102" s="4">
        <v>65672789.189999998</v>
      </c>
      <c r="N102" s="4">
        <v>65672789.189999998</v>
      </c>
      <c r="O102" s="23">
        <v>65672789.189999998</v>
      </c>
      <c r="P102" s="4">
        <v>65672789.189999998</v>
      </c>
      <c r="Q102" s="4">
        <v>71722226.593333334</v>
      </c>
      <c r="R102" s="4">
        <v>71722226.593333334</v>
      </c>
      <c r="S102" s="4">
        <v>71722226.593333334</v>
      </c>
      <c r="T102" s="23">
        <v>71722226.593333334</v>
      </c>
      <c r="U102" s="39">
        <v>71722226.593333334</v>
      </c>
      <c r="V102" s="39">
        <v>71722226.593333334</v>
      </c>
      <c r="W102" s="39">
        <v>71722226.593333334</v>
      </c>
      <c r="X102" s="39">
        <v>71722226.593333334</v>
      </c>
      <c r="Y102" s="23">
        <v>71722226.593333334</v>
      </c>
      <c r="Z102" s="39">
        <v>71722226.593333334</v>
      </c>
      <c r="AA102" s="39">
        <v>71722226.593333334</v>
      </c>
      <c r="AB102" s="39">
        <v>71722226.593333334</v>
      </c>
      <c r="AC102" s="39">
        <v>71722226.593333334</v>
      </c>
      <c r="AD102" s="4">
        <v>71722226.593333334</v>
      </c>
      <c r="AE102" s="4">
        <v>71722226.593333334</v>
      </c>
      <c r="AF102" s="4">
        <v>72646814.960000008</v>
      </c>
      <c r="AG102" s="4">
        <v>72646814.960000008</v>
      </c>
      <c r="AH102" s="4">
        <v>72646814.960000008</v>
      </c>
      <c r="AI102" s="4">
        <v>72646814.960000008</v>
      </c>
      <c r="AJ102" s="23">
        <v>72646814.960000008</v>
      </c>
      <c r="AK102" s="39">
        <v>72646814.960000008</v>
      </c>
      <c r="AL102" s="39">
        <v>72646814.960000008</v>
      </c>
      <c r="AM102" s="39">
        <v>72646814.960000008</v>
      </c>
      <c r="AN102" s="39">
        <v>72646814.960000008</v>
      </c>
      <c r="AO102" s="4">
        <v>72646814.960000008</v>
      </c>
      <c r="AP102" s="23">
        <v>72646814.960000008</v>
      </c>
      <c r="AQ102" s="4">
        <v>72646814.960000008</v>
      </c>
      <c r="AR102" s="4">
        <v>72646814.960000008</v>
      </c>
      <c r="AS102" s="4">
        <v>72646814.960000008</v>
      </c>
      <c r="AT102" s="4">
        <v>72646814.960000008</v>
      </c>
      <c r="AU102" s="4">
        <v>72646814.960000008</v>
      </c>
      <c r="AV102" s="23">
        <v>72646814.960000008</v>
      </c>
      <c r="AW102" s="4">
        <v>72646814.960000008</v>
      </c>
      <c r="AX102" s="4">
        <v>72646814.960000008</v>
      </c>
      <c r="AY102" s="4">
        <v>72646814.960000008</v>
      </c>
      <c r="AZ102" s="4">
        <v>72646814.960000008</v>
      </c>
      <c r="BA102" s="4">
        <v>72646814.960000008</v>
      </c>
      <c r="BB102" s="23">
        <v>72646814.960000008</v>
      </c>
      <c r="BC102" s="4">
        <v>72646814.960000008</v>
      </c>
      <c r="BD102" s="4">
        <v>72646814.960000008</v>
      </c>
      <c r="BE102" s="4">
        <v>72646814.960000008</v>
      </c>
      <c r="BF102" s="4">
        <v>72646814.960000008</v>
      </c>
      <c r="BG102" s="4">
        <v>72720087.386666685</v>
      </c>
      <c r="BH102" s="4">
        <v>72720087.386666685</v>
      </c>
      <c r="BI102" s="23">
        <v>72720087.386666685</v>
      </c>
      <c r="BJ102" s="35">
        <v>72720087.386666685</v>
      </c>
      <c r="BK102" s="4">
        <v>72720087.386666685</v>
      </c>
      <c r="BL102" s="35">
        <v>72720087.386666685</v>
      </c>
      <c r="BM102" s="4">
        <v>72720087.386666685</v>
      </c>
      <c r="BN102" s="4">
        <v>72720087.386666685</v>
      </c>
      <c r="BO102" s="4">
        <v>72720087.386666685</v>
      </c>
      <c r="BP102" s="4">
        <v>72720087.386666685</v>
      </c>
      <c r="BQ102" s="35">
        <v>72720087.386666685</v>
      </c>
      <c r="BR102" s="4">
        <v>72720087.386666685</v>
      </c>
      <c r="BS102" s="35">
        <v>72720087.386666685</v>
      </c>
      <c r="BT102" s="4">
        <v>72720087.386666685</v>
      </c>
      <c r="BU102" s="4">
        <v>72720087.386666685</v>
      </c>
      <c r="BV102" s="4">
        <v>72720087.386666685</v>
      </c>
      <c r="BW102" s="4">
        <v>72720087.386666685</v>
      </c>
      <c r="BX102" s="4">
        <v>72720087.386666685</v>
      </c>
      <c r="BY102" s="4">
        <v>72720087.386666685</v>
      </c>
      <c r="BZ102" s="4">
        <v>72720087.386666685</v>
      </c>
      <c r="CA102" s="4">
        <v>72720087.386666685</v>
      </c>
      <c r="CB102" s="4">
        <v>72720087.386666685</v>
      </c>
      <c r="CC102" s="4">
        <v>72720087.386666685</v>
      </c>
      <c r="CD102" s="4">
        <v>72720087.386666685</v>
      </c>
      <c r="CE102" s="4">
        <v>72720087.386666685</v>
      </c>
      <c r="CF102" s="4">
        <v>72720087.386666685</v>
      </c>
      <c r="CG102" s="4">
        <v>72720087.386666685</v>
      </c>
      <c r="CH102" s="4">
        <v>72720087.386666685</v>
      </c>
      <c r="CI102" s="4">
        <v>72720087.386666685</v>
      </c>
      <c r="CJ102" s="35">
        <v>72720087.386666685</v>
      </c>
      <c r="CK102" s="4">
        <v>72720087.386666685</v>
      </c>
      <c r="CL102" s="35">
        <v>72720087.386666685</v>
      </c>
      <c r="CM102" s="4">
        <v>72720087.386666685</v>
      </c>
      <c r="CN102" s="4">
        <v>72720087.386666685</v>
      </c>
      <c r="CO102" s="4">
        <v>72720087.386666685</v>
      </c>
      <c r="CP102" s="4">
        <v>72720087.386666685</v>
      </c>
      <c r="CQ102" s="4">
        <v>72720087.386666685</v>
      </c>
      <c r="CR102" s="4">
        <v>72720087.386666685</v>
      </c>
      <c r="CS102" s="4">
        <v>72720087.386666685</v>
      </c>
    </row>
    <row r="103" spans="1:97" x14ac:dyDescent="0.25">
      <c r="A103" t="s">
        <v>119</v>
      </c>
      <c r="C103" s="23">
        <v>0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  <c r="L103" s="23">
        <v>0</v>
      </c>
      <c r="M103" s="4">
        <v>0</v>
      </c>
      <c r="N103" s="4">
        <v>0</v>
      </c>
      <c r="O103" s="23">
        <v>0</v>
      </c>
      <c r="P103" s="4">
        <v>0</v>
      </c>
      <c r="Q103" s="4">
        <v>0</v>
      </c>
      <c r="R103" s="4">
        <v>0</v>
      </c>
      <c r="S103" s="4">
        <v>0</v>
      </c>
      <c r="T103" s="23">
        <v>0</v>
      </c>
      <c r="U103" s="39">
        <v>0</v>
      </c>
      <c r="V103" s="39">
        <v>0</v>
      </c>
      <c r="W103" s="39">
        <v>0</v>
      </c>
      <c r="X103" s="39">
        <v>0</v>
      </c>
      <c r="Y103" s="23">
        <v>0</v>
      </c>
      <c r="Z103" s="39">
        <v>0</v>
      </c>
      <c r="AA103" s="39">
        <v>0</v>
      </c>
      <c r="AB103" s="39">
        <v>0</v>
      </c>
      <c r="AC103" s="39">
        <v>0</v>
      </c>
      <c r="AD103" s="4">
        <v>0</v>
      </c>
      <c r="AE103" s="4">
        <v>0</v>
      </c>
      <c r="AF103" s="4">
        <v>0</v>
      </c>
      <c r="AG103" s="4">
        <v>0</v>
      </c>
      <c r="AH103" s="4">
        <v>0</v>
      </c>
      <c r="AI103" s="4">
        <v>0</v>
      </c>
      <c r="AJ103" s="23">
        <v>0</v>
      </c>
      <c r="AK103" s="39">
        <v>0</v>
      </c>
      <c r="AL103" s="39">
        <v>0</v>
      </c>
      <c r="AM103" s="39">
        <v>0</v>
      </c>
      <c r="AN103" s="39">
        <v>0</v>
      </c>
      <c r="AO103" s="4">
        <v>0</v>
      </c>
      <c r="AP103" s="23">
        <v>0</v>
      </c>
      <c r="AQ103" s="4">
        <v>0</v>
      </c>
      <c r="AR103" s="4">
        <v>0</v>
      </c>
      <c r="AS103" s="4">
        <v>0</v>
      </c>
      <c r="AT103" s="4">
        <v>0</v>
      </c>
      <c r="AU103" s="4">
        <v>0</v>
      </c>
      <c r="AV103" s="23">
        <v>0</v>
      </c>
      <c r="AW103" s="4">
        <v>0</v>
      </c>
      <c r="AX103" s="4">
        <v>0</v>
      </c>
      <c r="AY103" s="4">
        <v>0</v>
      </c>
      <c r="AZ103" s="4">
        <v>0</v>
      </c>
      <c r="BA103" s="4">
        <v>0</v>
      </c>
      <c r="BB103" s="23">
        <v>0</v>
      </c>
      <c r="BC103" s="4">
        <v>0</v>
      </c>
      <c r="BD103" s="4">
        <v>0</v>
      </c>
      <c r="BE103" s="4">
        <v>0</v>
      </c>
      <c r="BF103" s="4">
        <v>0</v>
      </c>
      <c r="BG103" s="4">
        <v>0</v>
      </c>
      <c r="BH103" s="4">
        <v>0</v>
      </c>
      <c r="BI103" s="23">
        <v>0</v>
      </c>
      <c r="BJ103" s="35">
        <v>0</v>
      </c>
      <c r="BK103" s="4">
        <v>0</v>
      </c>
      <c r="BL103" s="35">
        <v>0</v>
      </c>
      <c r="BM103" s="4">
        <v>0</v>
      </c>
      <c r="BN103" s="4">
        <v>0</v>
      </c>
      <c r="BO103" s="4">
        <v>0</v>
      </c>
      <c r="BP103" s="4">
        <v>0</v>
      </c>
      <c r="BQ103" s="35">
        <v>0</v>
      </c>
      <c r="BR103" s="4">
        <v>0</v>
      </c>
      <c r="BS103" s="35">
        <v>0</v>
      </c>
      <c r="BT103" s="4">
        <v>0</v>
      </c>
      <c r="BU103" s="4">
        <v>0</v>
      </c>
      <c r="BV103" s="4">
        <v>0</v>
      </c>
      <c r="BW103" s="4">
        <v>0</v>
      </c>
      <c r="BX103" s="4">
        <v>0</v>
      </c>
      <c r="BY103" s="4">
        <v>0</v>
      </c>
      <c r="BZ103" s="4">
        <v>0</v>
      </c>
      <c r="CA103" s="4">
        <v>0</v>
      </c>
      <c r="CB103" s="4">
        <v>0</v>
      </c>
      <c r="CC103" s="4">
        <v>0</v>
      </c>
      <c r="CD103" s="4">
        <v>0</v>
      </c>
      <c r="CE103" s="4">
        <v>0</v>
      </c>
      <c r="CF103" s="4">
        <v>0</v>
      </c>
      <c r="CG103" s="4">
        <v>0</v>
      </c>
      <c r="CH103" s="4">
        <v>0</v>
      </c>
      <c r="CI103" s="4">
        <v>0</v>
      </c>
      <c r="CJ103" s="35">
        <v>0</v>
      </c>
      <c r="CK103" s="4">
        <v>0</v>
      </c>
      <c r="CL103" s="35">
        <v>0</v>
      </c>
      <c r="CM103" s="4">
        <v>0</v>
      </c>
      <c r="CN103" s="4">
        <v>0</v>
      </c>
      <c r="CO103" s="4">
        <v>0</v>
      </c>
      <c r="CP103" s="4">
        <v>0</v>
      </c>
      <c r="CQ103" s="4">
        <v>0</v>
      </c>
      <c r="CR103" s="4">
        <v>0</v>
      </c>
      <c r="CS103" s="4">
        <v>0</v>
      </c>
    </row>
    <row r="104" spans="1:97" x14ac:dyDescent="0.25">
      <c r="A104" t="s">
        <v>120</v>
      </c>
      <c r="C104" s="23">
        <v>165688725.63993752</v>
      </c>
      <c r="D104" s="4">
        <v>165688725.63993752</v>
      </c>
      <c r="E104" s="4">
        <v>165688725.63993752</v>
      </c>
      <c r="F104" s="4">
        <v>165688725.63993752</v>
      </c>
      <c r="G104" s="4">
        <v>165688725.63993752</v>
      </c>
      <c r="H104" s="4">
        <v>165688725.63993752</v>
      </c>
      <c r="I104" s="4">
        <v>165688725.63993752</v>
      </c>
      <c r="J104" s="4">
        <v>165688725.63993752</v>
      </c>
      <c r="K104" s="4">
        <v>165688725.63993752</v>
      </c>
      <c r="L104" s="23">
        <v>165688725.63993752</v>
      </c>
      <c r="M104" s="4">
        <v>165688725.63993752</v>
      </c>
      <c r="N104" s="4">
        <v>165688725.63993752</v>
      </c>
      <c r="O104" s="23">
        <v>165688725.63993752</v>
      </c>
      <c r="P104" s="4">
        <v>165688725.63993752</v>
      </c>
      <c r="Q104" s="4">
        <v>93273710.530812502</v>
      </c>
      <c r="R104" s="4">
        <v>93273710.530812502</v>
      </c>
      <c r="S104" s="4">
        <v>93273710.530812502</v>
      </c>
      <c r="T104" s="23">
        <v>93273710.530812502</v>
      </c>
      <c r="U104" s="39">
        <v>93273710.530812502</v>
      </c>
      <c r="V104" s="39">
        <v>93273710.530812502</v>
      </c>
      <c r="W104" s="39">
        <v>93273710.530812502</v>
      </c>
      <c r="X104" s="39">
        <v>93273710.530812502</v>
      </c>
      <c r="Y104" s="23">
        <v>93273710.530812502</v>
      </c>
      <c r="Z104" s="39">
        <v>93273710.530812502</v>
      </c>
      <c r="AA104" s="39">
        <v>93273710.530812502</v>
      </c>
      <c r="AB104" s="39">
        <v>93273710.530812502</v>
      </c>
      <c r="AC104" s="39">
        <v>93273710.530812502</v>
      </c>
      <c r="AD104" s="4">
        <v>93273710.530812502</v>
      </c>
      <c r="AE104" s="4">
        <v>93273710.530812502</v>
      </c>
      <c r="AF104" s="4">
        <v>0</v>
      </c>
      <c r="AG104" s="4">
        <v>0</v>
      </c>
      <c r="AH104" s="4">
        <v>0</v>
      </c>
      <c r="AI104" s="4">
        <v>0</v>
      </c>
      <c r="AJ104" s="23">
        <v>0</v>
      </c>
      <c r="AK104" s="39">
        <v>0</v>
      </c>
      <c r="AL104" s="39">
        <v>0</v>
      </c>
      <c r="AM104" s="39">
        <v>0</v>
      </c>
      <c r="AN104" s="39">
        <v>0</v>
      </c>
      <c r="AO104" s="4">
        <v>0</v>
      </c>
      <c r="AP104" s="23">
        <v>0</v>
      </c>
      <c r="AQ104" s="4">
        <v>0</v>
      </c>
      <c r="AR104" s="4">
        <v>0</v>
      </c>
      <c r="AS104" s="4">
        <v>0</v>
      </c>
      <c r="AT104" s="4">
        <v>0</v>
      </c>
      <c r="AU104" s="4">
        <v>0</v>
      </c>
      <c r="AV104" s="23">
        <v>0</v>
      </c>
      <c r="AW104" s="4">
        <v>0</v>
      </c>
      <c r="AX104" s="4">
        <v>0</v>
      </c>
      <c r="AY104" s="4">
        <v>0</v>
      </c>
      <c r="AZ104" s="4">
        <v>0</v>
      </c>
      <c r="BA104" s="4">
        <v>0</v>
      </c>
      <c r="BB104" s="23">
        <v>0</v>
      </c>
      <c r="BC104" s="4">
        <v>0</v>
      </c>
      <c r="BD104" s="4">
        <v>0</v>
      </c>
      <c r="BE104" s="4">
        <v>0</v>
      </c>
      <c r="BF104" s="4">
        <v>0</v>
      </c>
      <c r="BG104" s="4">
        <v>284832264.84414196</v>
      </c>
      <c r="BH104" s="4">
        <v>284832264.84414196</v>
      </c>
      <c r="BI104" s="23">
        <v>284832264.84414196</v>
      </c>
      <c r="BJ104" s="35">
        <v>284832264.84414196</v>
      </c>
      <c r="BK104" s="4">
        <v>284832264.84414196</v>
      </c>
      <c r="BL104" s="35">
        <v>284832264.84414196</v>
      </c>
      <c r="BM104" s="4">
        <v>284832264.84414196</v>
      </c>
      <c r="BN104" s="4">
        <v>284832264.84414196</v>
      </c>
      <c r="BO104" s="4">
        <v>284832264.84414196</v>
      </c>
      <c r="BP104" s="4">
        <v>284832264.84414196</v>
      </c>
      <c r="BQ104" s="35">
        <v>284832264.84414196</v>
      </c>
      <c r="BR104" s="4">
        <v>284832264.84414196</v>
      </c>
      <c r="BS104" s="35">
        <v>284832264.84414196</v>
      </c>
      <c r="BT104" s="4">
        <v>284832264.84414196</v>
      </c>
      <c r="BU104" s="4">
        <v>284832264.84414196</v>
      </c>
      <c r="BV104" s="4">
        <v>284832264.84414196</v>
      </c>
      <c r="BW104" s="4">
        <v>284832264.84414196</v>
      </c>
      <c r="BX104" s="4">
        <v>284832264.84414196</v>
      </c>
      <c r="BY104" s="4">
        <v>284832264.84414196</v>
      </c>
      <c r="BZ104" s="4">
        <v>284832264.84414196</v>
      </c>
      <c r="CA104" s="4">
        <v>284832264.84414196</v>
      </c>
      <c r="CB104" s="4">
        <v>284832264.84414196</v>
      </c>
      <c r="CC104" s="4">
        <v>284832264.84414196</v>
      </c>
      <c r="CD104" s="4">
        <v>284832264.84414196</v>
      </c>
      <c r="CE104" s="4">
        <v>284832264.84414196</v>
      </c>
      <c r="CF104" s="4">
        <v>284832264.84414196</v>
      </c>
      <c r="CG104" s="4">
        <v>284832264.84414196</v>
      </c>
      <c r="CH104" s="4">
        <v>284832264.84414196</v>
      </c>
      <c r="CI104" s="4">
        <v>284832264.84414196</v>
      </c>
      <c r="CJ104" s="35">
        <v>284832264.84414196</v>
      </c>
      <c r="CK104" s="4">
        <v>284832264.84414196</v>
      </c>
      <c r="CL104" s="35">
        <v>284832264.84414196</v>
      </c>
      <c r="CM104" s="4">
        <v>284832264.84414196</v>
      </c>
      <c r="CN104" s="4">
        <v>284832264.84414196</v>
      </c>
      <c r="CO104" s="4">
        <v>284832264.84414196</v>
      </c>
      <c r="CP104" s="4">
        <v>284832264.84414196</v>
      </c>
      <c r="CQ104" s="4">
        <v>284832264.84414196</v>
      </c>
      <c r="CR104" s="4">
        <v>284832264.84414196</v>
      </c>
      <c r="CS104" s="4">
        <v>284832264.84414196</v>
      </c>
    </row>
    <row r="105" spans="1:97" x14ac:dyDescent="0.25">
      <c r="A105" t="s">
        <v>121</v>
      </c>
      <c r="C105" s="23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  <c r="L105" s="23">
        <v>0</v>
      </c>
      <c r="M105" s="4">
        <v>0</v>
      </c>
      <c r="N105" s="4">
        <v>0</v>
      </c>
      <c r="O105" s="23">
        <v>0</v>
      </c>
      <c r="P105" s="4">
        <v>0</v>
      </c>
      <c r="Q105" s="4">
        <v>0</v>
      </c>
      <c r="R105" s="4">
        <v>0</v>
      </c>
      <c r="S105" s="4">
        <v>0</v>
      </c>
      <c r="T105" s="23">
        <v>0</v>
      </c>
      <c r="U105" s="39">
        <v>0</v>
      </c>
      <c r="V105" s="39">
        <v>0</v>
      </c>
      <c r="W105" s="39">
        <v>0</v>
      </c>
      <c r="X105" s="39">
        <v>0</v>
      </c>
      <c r="Y105" s="23">
        <v>0</v>
      </c>
      <c r="Z105" s="39">
        <v>0</v>
      </c>
      <c r="AA105" s="39">
        <v>0</v>
      </c>
      <c r="AB105" s="39">
        <v>0</v>
      </c>
      <c r="AC105" s="39">
        <v>0</v>
      </c>
      <c r="AD105" s="4">
        <v>0</v>
      </c>
      <c r="AE105" s="4">
        <v>0</v>
      </c>
      <c r="AF105" s="4">
        <v>0</v>
      </c>
      <c r="AG105" s="4">
        <v>0</v>
      </c>
      <c r="AH105" s="4">
        <v>0</v>
      </c>
      <c r="AI105" s="4">
        <v>0</v>
      </c>
      <c r="AJ105" s="23">
        <v>0</v>
      </c>
      <c r="AK105" s="39">
        <v>0</v>
      </c>
      <c r="AL105" s="39">
        <v>0</v>
      </c>
      <c r="AM105" s="39">
        <v>0</v>
      </c>
      <c r="AN105" s="39">
        <v>0</v>
      </c>
      <c r="AO105" s="4">
        <v>0</v>
      </c>
      <c r="AP105" s="23">
        <v>0</v>
      </c>
      <c r="AQ105" s="4">
        <v>0</v>
      </c>
      <c r="AR105" s="4">
        <v>0</v>
      </c>
      <c r="AS105" s="4">
        <v>0</v>
      </c>
      <c r="AT105" s="4">
        <v>0</v>
      </c>
      <c r="AU105" s="4">
        <v>0</v>
      </c>
      <c r="AV105" s="23">
        <v>0</v>
      </c>
      <c r="AW105" s="4">
        <v>0</v>
      </c>
      <c r="AX105" s="4">
        <v>0</v>
      </c>
      <c r="AY105" s="4">
        <v>0</v>
      </c>
      <c r="AZ105" s="4">
        <v>0</v>
      </c>
      <c r="BA105" s="4">
        <v>0</v>
      </c>
      <c r="BB105" s="23">
        <v>0</v>
      </c>
      <c r="BC105" s="4">
        <v>0</v>
      </c>
      <c r="BD105" s="4">
        <v>0</v>
      </c>
      <c r="BE105" s="4">
        <v>0</v>
      </c>
      <c r="BF105" s="4">
        <v>0</v>
      </c>
      <c r="BG105" s="4">
        <v>0</v>
      </c>
      <c r="BH105" s="4">
        <v>0</v>
      </c>
      <c r="BI105" s="23">
        <v>0</v>
      </c>
      <c r="BJ105" s="35">
        <v>0</v>
      </c>
      <c r="BK105" s="4">
        <v>0</v>
      </c>
      <c r="BL105" s="35">
        <v>0</v>
      </c>
      <c r="BM105" s="4">
        <v>0</v>
      </c>
      <c r="BN105" s="4">
        <v>0</v>
      </c>
      <c r="BO105" s="4">
        <v>0</v>
      </c>
      <c r="BP105" s="4">
        <v>0</v>
      </c>
      <c r="BQ105" s="35">
        <v>0</v>
      </c>
      <c r="BR105" s="4">
        <v>0</v>
      </c>
      <c r="BS105" s="35">
        <v>0</v>
      </c>
      <c r="BT105" s="4">
        <v>0</v>
      </c>
      <c r="BU105" s="4">
        <v>0</v>
      </c>
      <c r="BV105" s="4">
        <v>0</v>
      </c>
      <c r="BW105" s="4">
        <v>0</v>
      </c>
      <c r="BX105" s="4">
        <v>0</v>
      </c>
      <c r="BY105" s="4">
        <v>0</v>
      </c>
      <c r="BZ105" s="4">
        <v>0</v>
      </c>
      <c r="CA105" s="4">
        <v>0</v>
      </c>
      <c r="CB105" s="4">
        <v>0</v>
      </c>
      <c r="CC105" s="4">
        <v>0</v>
      </c>
      <c r="CD105" s="4">
        <v>0</v>
      </c>
      <c r="CE105" s="4">
        <v>0</v>
      </c>
      <c r="CF105" s="4">
        <v>0</v>
      </c>
      <c r="CG105" s="4">
        <v>0</v>
      </c>
      <c r="CH105" s="4">
        <v>0</v>
      </c>
      <c r="CI105" s="4">
        <v>0</v>
      </c>
      <c r="CJ105" s="35">
        <v>0</v>
      </c>
      <c r="CK105" s="4">
        <v>0</v>
      </c>
      <c r="CL105" s="35">
        <v>0</v>
      </c>
      <c r="CM105" s="4">
        <v>0</v>
      </c>
      <c r="CN105" s="4">
        <v>0</v>
      </c>
      <c r="CO105" s="4">
        <v>0</v>
      </c>
      <c r="CP105" s="4">
        <v>0</v>
      </c>
      <c r="CQ105" s="4">
        <v>0</v>
      </c>
      <c r="CR105" s="4">
        <v>0</v>
      </c>
      <c r="CS105" s="4">
        <v>0</v>
      </c>
    </row>
    <row r="106" spans="1:97" x14ac:dyDescent="0.25">
      <c r="A106" t="s">
        <v>122</v>
      </c>
      <c r="C106" s="23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  <c r="L106" s="23">
        <v>0</v>
      </c>
      <c r="M106" s="4">
        <v>0</v>
      </c>
      <c r="N106" s="4">
        <v>0</v>
      </c>
      <c r="O106" s="23">
        <v>0</v>
      </c>
      <c r="P106" s="4">
        <v>0</v>
      </c>
      <c r="Q106" s="4">
        <v>0</v>
      </c>
      <c r="R106" s="4">
        <v>0</v>
      </c>
      <c r="S106" s="4">
        <v>0</v>
      </c>
      <c r="T106" s="23">
        <v>0</v>
      </c>
      <c r="U106" s="39">
        <v>0</v>
      </c>
      <c r="V106" s="39">
        <v>0</v>
      </c>
      <c r="W106" s="39">
        <v>0</v>
      </c>
      <c r="X106" s="39">
        <v>0</v>
      </c>
      <c r="Y106" s="23">
        <v>0</v>
      </c>
      <c r="Z106" s="39">
        <v>0</v>
      </c>
      <c r="AA106" s="39">
        <v>0</v>
      </c>
      <c r="AB106" s="39">
        <v>0</v>
      </c>
      <c r="AC106" s="39">
        <v>0</v>
      </c>
      <c r="AD106" s="4">
        <v>0</v>
      </c>
      <c r="AE106" s="4">
        <v>0</v>
      </c>
      <c r="AF106" s="4">
        <v>0</v>
      </c>
      <c r="AG106" s="4">
        <v>0</v>
      </c>
      <c r="AH106" s="4">
        <v>0</v>
      </c>
      <c r="AI106" s="4">
        <v>0</v>
      </c>
      <c r="AJ106" s="23">
        <v>0</v>
      </c>
      <c r="AK106" s="39">
        <v>0</v>
      </c>
      <c r="AL106" s="39">
        <v>0</v>
      </c>
      <c r="AM106" s="39">
        <v>0</v>
      </c>
      <c r="AN106" s="39">
        <v>0</v>
      </c>
      <c r="AO106" s="4">
        <v>0</v>
      </c>
      <c r="AP106" s="23">
        <v>0</v>
      </c>
      <c r="AQ106" s="4">
        <v>0</v>
      </c>
      <c r="AR106" s="4">
        <v>0</v>
      </c>
      <c r="AS106" s="4">
        <v>0</v>
      </c>
      <c r="AT106" s="4">
        <v>0</v>
      </c>
      <c r="AU106" s="4">
        <v>0</v>
      </c>
      <c r="AV106" s="23">
        <v>0</v>
      </c>
      <c r="AW106" s="4">
        <v>0</v>
      </c>
      <c r="AX106" s="4">
        <v>0</v>
      </c>
      <c r="AY106" s="4">
        <v>0</v>
      </c>
      <c r="AZ106" s="4">
        <v>0</v>
      </c>
      <c r="BA106" s="4">
        <v>0</v>
      </c>
      <c r="BB106" s="23">
        <v>0</v>
      </c>
      <c r="BC106" s="4">
        <v>0</v>
      </c>
      <c r="BD106" s="4">
        <v>0</v>
      </c>
      <c r="BE106" s="4">
        <v>0</v>
      </c>
      <c r="BF106" s="4">
        <v>0</v>
      </c>
      <c r="BG106" s="4">
        <v>0</v>
      </c>
      <c r="BH106" s="4">
        <v>0</v>
      </c>
      <c r="BI106" s="23">
        <v>0</v>
      </c>
      <c r="BJ106" s="35">
        <v>0</v>
      </c>
      <c r="BK106" s="4">
        <v>0</v>
      </c>
      <c r="BL106" s="35">
        <v>0</v>
      </c>
      <c r="BM106" s="4">
        <v>0</v>
      </c>
      <c r="BN106" s="4">
        <v>0</v>
      </c>
      <c r="BO106" s="4">
        <v>0</v>
      </c>
      <c r="BP106" s="4">
        <v>0</v>
      </c>
      <c r="BQ106" s="35">
        <v>0</v>
      </c>
      <c r="BR106" s="4">
        <v>0</v>
      </c>
      <c r="BS106" s="35">
        <v>0</v>
      </c>
      <c r="BT106" s="4">
        <v>0</v>
      </c>
      <c r="BU106" s="4">
        <v>0</v>
      </c>
      <c r="BV106" s="4">
        <v>0</v>
      </c>
      <c r="BW106" s="4">
        <v>0</v>
      </c>
      <c r="BX106" s="4">
        <v>0</v>
      </c>
      <c r="BY106" s="4">
        <v>0</v>
      </c>
      <c r="BZ106" s="4">
        <v>0</v>
      </c>
      <c r="CA106" s="4">
        <v>0</v>
      </c>
      <c r="CB106" s="4">
        <v>0</v>
      </c>
      <c r="CC106" s="4">
        <v>0</v>
      </c>
      <c r="CD106" s="4">
        <v>0</v>
      </c>
      <c r="CE106" s="4">
        <v>0</v>
      </c>
      <c r="CF106" s="4">
        <v>0</v>
      </c>
      <c r="CG106" s="4">
        <v>0</v>
      </c>
      <c r="CH106" s="4">
        <v>0</v>
      </c>
      <c r="CI106" s="4">
        <v>0</v>
      </c>
      <c r="CJ106" s="35">
        <v>0</v>
      </c>
      <c r="CK106" s="4">
        <v>0</v>
      </c>
      <c r="CL106" s="35">
        <v>0</v>
      </c>
      <c r="CM106" s="4">
        <v>0</v>
      </c>
      <c r="CN106" s="4">
        <v>0</v>
      </c>
      <c r="CO106" s="4">
        <v>0</v>
      </c>
      <c r="CP106" s="4">
        <v>0</v>
      </c>
      <c r="CQ106" s="4">
        <v>0</v>
      </c>
      <c r="CR106" s="4">
        <v>0</v>
      </c>
      <c r="CS106" s="4">
        <v>0</v>
      </c>
    </row>
    <row r="107" spans="1:97" x14ac:dyDescent="0.25">
      <c r="A107" t="s">
        <v>123</v>
      </c>
      <c r="C107" s="23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  <c r="L107" s="23">
        <v>0</v>
      </c>
      <c r="M107" s="4">
        <v>0</v>
      </c>
      <c r="N107" s="4">
        <v>0</v>
      </c>
      <c r="O107" s="23">
        <v>0</v>
      </c>
      <c r="P107" s="4">
        <v>0</v>
      </c>
      <c r="Q107" s="4">
        <v>0</v>
      </c>
      <c r="R107" s="4">
        <v>0</v>
      </c>
      <c r="S107" s="4">
        <v>0</v>
      </c>
      <c r="T107" s="23">
        <v>0</v>
      </c>
      <c r="U107" s="39">
        <v>0</v>
      </c>
      <c r="V107" s="39">
        <v>0</v>
      </c>
      <c r="W107" s="39">
        <v>0</v>
      </c>
      <c r="X107" s="39">
        <v>0</v>
      </c>
      <c r="Y107" s="23">
        <v>0</v>
      </c>
      <c r="Z107" s="39">
        <v>0</v>
      </c>
      <c r="AA107" s="39">
        <v>0</v>
      </c>
      <c r="AB107" s="39">
        <v>0</v>
      </c>
      <c r="AC107" s="39">
        <v>0</v>
      </c>
      <c r="AD107" s="4">
        <v>0</v>
      </c>
      <c r="AE107" s="4">
        <v>0</v>
      </c>
      <c r="AF107" s="4">
        <v>0</v>
      </c>
      <c r="AG107" s="4">
        <v>0</v>
      </c>
      <c r="AH107" s="4">
        <v>0</v>
      </c>
      <c r="AI107" s="4">
        <v>0</v>
      </c>
      <c r="AJ107" s="23">
        <v>0</v>
      </c>
      <c r="AK107" s="39">
        <v>0</v>
      </c>
      <c r="AL107" s="39">
        <v>0</v>
      </c>
      <c r="AM107" s="39">
        <v>0</v>
      </c>
      <c r="AN107" s="39">
        <v>0</v>
      </c>
      <c r="AO107" s="4">
        <v>0</v>
      </c>
      <c r="AP107" s="23">
        <v>0</v>
      </c>
      <c r="AQ107" s="4">
        <v>0</v>
      </c>
      <c r="AR107" s="4">
        <v>0</v>
      </c>
      <c r="AS107" s="4">
        <v>0</v>
      </c>
      <c r="AT107" s="4">
        <v>0</v>
      </c>
      <c r="AU107" s="4">
        <v>0</v>
      </c>
      <c r="AV107" s="23">
        <v>0</v>
      </c>
      <c r="AW107" s="4">
        <v>0</v>
      </c>
      <c r="AX107" s="4">
        <v>0</v>
      </c>
      <c r="AY107" s="4">
        <v>0</v>
      </c>
      <c r="AZ107" s="4">
        <v>0</v>
      </c>
      <c r="BA107" s="4">
        <v>0</v>
      </c>
      <c r="BB107" s="23">
        <v>0</v>
      </c>
      <c r="BC107" s="4">
        <v>0</v>
      </c>
      <c r="BD107" s="4">
        <v>0</v>
      </c>
      <c r="BE107" s="4">
        <v>0</v>
      </c>
      <c r="BF107" s="4">
        <v>0</v>
      </c>
      <c r="BG107" s="4">
        <v>0</v>
      </c>
      <c r="BH107" s="4">
        <v>0</v>
      </c>
      <c r="BI107" s="23">
        <v>0</v>
      </c>
      <c r="BJ107" s="35">
        <v>0</v>
      </c>
      <c r="BK107" s="4">
        <v>0</v>
      </c>
      <c r="BL107" s="35">
        <v>0</v>
      </c>
      <c r="BM107" s="4">
        <v>0</v>
      </c>
      <c r="BN107" s="4">
        <v>0</v>
      </c>
      <c r="BO107" s="4">
        <v>0</v>
      </c>
      <c r="BP107" s="4">
        <v>0</v>
      </c>
      <c r="BQ107" s="35">
        <v>0</v>
      </c>
      <c r="BR107" s="4">
        <v>0</v>
      </c>
      <c r="BS107" s="35">
        <v>0</v>
      </c>
      <c r="BT107" s="4">
        <v>0</v>
      </c>
      <c r="BU107" s="4">
        <v>0</v>
      </c>
      <c r="BV107" s="4">
        <v>0</v>
      </c>
      <c r="BW107" s="4">
        <v>0</v>
      </c>
      <c r="BX107" s="4">
        <v>0</v>
      </c>
      <c r="BY107" s="4">
        <v>0</v>
      </c>
      <c r="BZ107" s="4">
        <v>0</v>
      </c>
      <c r="CA107" s="4">
        <v>0</v>
      </c>
      <c r="CB107" s="4">
        <v>0</v>
      </c>
      <c r="CC107" s="4">
        <v>0</v>
      </c>
      <c r="CD107" s="4">
        <v>0</v>
      </c>
      <c r="CE107" s="4">
        <v>0</v>
      </c>
      <c r="CF107" s="4">
        <v>0</v>
      </c>
      <c r="CG107" s="4">
        <v>0</v>
      </c>
      <c r="CH107" s="4">
        <v>0</v>
      </c>
      <c r="CI107" s="4">
        <v>0</v>
      </c>
      <c r="CJ107" s="35">
        <v>0</v>
      </c>
      <c r="CK107" s="4">
        <v>0</v>
      </c>
      <c r="CL107" s="35">
        <v>0</v>
      </c>
      <c r="CM107" s="4">
        <v>0</v>
      </c>
      <c r="CN107" s="4">
        <v>0</v>
      </c>
      <c r="CO107" s="4">
        <v>0</v>
      </c>
      <c r="CP107" s="4">
        <v>0</v>
      </c>
      <c r="CQ107" s="4">
        <v>0</v>
      </c>
      <c r="CR107" s="4">
        <v>0</v>
      </c>
      <c r="CS107" s="4">
        <v>0</v>
      </c>
    </row>
    <row r="108" spans="1:97" x14ac:dyDescent="0.25">
      <c r="A108" t="s">
        <v>124</v>
      </c>
      <c r="C108" s="23">
        <v>7385063.6899999995</v>
      </c>
      <c r="D108" s="4">
        <v>7385063.6899999995</v>
      </c>
      <c r="E108" s="4">
        <v>7385063.6899999995</v>
      </c>
      <c r="F108" s="4">
        <v>7385063.6899999995</v>
      </c>
      <c r="G108" s="4">
        <v>7385063.6899999995</v>
      </c>
      <c r="H108" s="4">
        <v>7385063.6899999995</v>
      </c>
      <c r="I108" s="4">
        <v>7385063.6899999995</v>
      </c>
      <c r="J108" s="4">
        <v>7385063.6899999995</v>
      </c>
      <c r="K108" s="4">
        <v>7385063.6899999995</v>
      </c>
      <c r="L108" s="23">
        <v>7385063.6899999995</v>
      </c>
      <c r="M108" s="4">
        <v>7385063.6899999995</v>
      </c>
      <c r="N108" s="4">
        <v>7385063.6899999995</v>
      </c>
      <c r="O108" s="23">
        <v>7385063.6899999995</v>
      </c>
      <c r="P108" s="4">
        <v>7385063.6899999995</v>
      </c>
      <c r="Q108" s="4">
        <v>0</v>
      </c>
      <c r="R108" s="4">
        <v>0</v>
      </c>
      <c r="S108" s="4">
        <v>0</v>
      </c>
      <c r="T108" s="23">
        <v>0</v>
      </c>
      <c r="U108" s="39">
        <v>0</v>
      </c>
      <c r="V108" s="39">
        <v>0</v>
      </c>
      <c r="W108" s="39">
        <v>0</v>
      </c>
      <c r="X108" s="39">
        <v>0</v>
      </c>
      <c r="Y108" s="23">
        <v>0</v>
      </c>
      <c r="Z108" s="39">
        <v>0</v>
      </c>
      <c r="AA108" s="39">
        <v>0</v>
      </c>
      <c r="AB108" s="39">
        <v>0</v>
      </c>
      <c r="AC108" s="39">
        <v>0</v>
      </c>
      <c r="AD108" s="43">
        <v>0</v>
      </c>
      <c r="AE108" s="4">
        <v>0</v>
      </c>
      <c r="AF108" s="4">
        <v>17107752.580000002</v>
      </c>
      <c r="AG108" s="4">
        <v>17107752.580000002</v>
      </c>
      <c r="AH108" s="4">
        <v>17107752.580000002</v>
      </c>
      <c r="AI108" s="4">
        <v>17107752.580000002</v>
      </c>
      <c r="AJ108" s="23">
        <v>17107752.580000002</v>
      </c>
      <c r="AK108" s="39">
        <v>17107752.580000002</v>
      </c>
      <c r="AL108" s="39">
        <v>17107752.580000002</v>
      </c>
      <c r="AM108" s="39">
        <v>17107752.580000002</v>
      </c>
      <c r="AN108" s="39">
        <v>17107752.580000002</v>
      </c>
      <c r="AO108" s="4">
        <v>17107752.580000002</v>
      </c>
      <c r="AP108" s="23">
        <v>17107752.580000002</v>
      </c>
      <c r="AQ108" s="4">
        <v>17107752.580000002</v>
      </c>
      <c r="AR108" s="4">
        <v>17107752.580000002</v>
      </c>
      <c r="AS108" s="4">
        <v>17107752.580000002</v>
      </c>
      <c r="AT108" s="4">
        <v>17107752.580000002</v>
      </c>
      <c r="AU108" s="4">
        <v>17107752.580000002</v>
      </c>
      <c r="AV108" s="23">
        <v>17107752.580000002</v>
      </c>
      <c r="AW108" s="4">
        <v>17107752.580000002</v>
      </c>
      <c r="AX108" s="4">
        <v>17107752.580000002</v>
      </c>
      <c r="AY108" s="4">
        <v>17107752.580000002</v>
      </c>
      <c r="AZ108" s="4">
        <v>17107752.580000002</v>
      </c>
      <c r="BA108" s="4">
        <v>17107752.580000002</v>
      </c>
      <c r="BB108" s="23">
        <v>17107752.580000002</v>
      </c>
      <c r="BC108" s="4">
        <v>17107752.580000002</v>
      </c>
      <c r="BD108" s="4">
        <v>17107752.580000002</v>
      </c>
      <c r="BE108" s="4">
        <v>17107752.580000002</v>
      </c>
      <c r="BF108" s="43">
        <v>17107752.580000002</v>
      </c>
      <c r="BG108" s="4">
        <v>0</v>
      </c>
      <c r="BH108" s="4">
        <v>0</v>
      </c>
      <c r="BI108" s="23">
        <v>0</v>
      </c>
      <c r="BJ108" s="35">
        <v>0</v>
      </c>
      <c r="BK108" s="4">
        <v>0</v>
      </c>
      <c r="BL108" s="35">
        <v>0</v>
      </c>
      <c r="BM108" s="4">
        <v>0</v>
      </c>
      <c r="BN108" s="4">
        <v>0</v>
      </c>
      <c r="BO108" s="4">
        <v>0</v>
      </c>
      <c r="BP108" s="4">
        <v>0</v>
      </c>
      <c r="BQ108" s="35">
        <v>0</v>
      </c>
      <c r="BR108" s="4">
        <v>0</v>
      </c>
      <c r="BS108" s="35">
        <v>0</v>
      </c>
      <c r="BT108" s="4">
        <v>0</v>
      </c>
      <c r="BU108" s="4">
        <v>0</v>
      </c>
      <c r="BV108" s="4">
        <v>0</v>
      </c>
      <c r="BW108" s="4">
        <v>0</v>
      </c>
      <c r="BX108" s="4">
        <v>0</v>
      </c>
      <c r="BY108" s="4">
        <v>0</v>
      </c>
      <c r="BZ108" s="4">
        <v>0</v>
      </c>
      <c r="CA108" s="4">
        <v>0</v>
      </c>
      <c r="CB108" s="4">
        <v>0</v>
      </c>
      <c r="CC108" s="4">
        <v>0</v>
      </c>
      <c r="CD108" s="4">
        <v>0</v>
      </c>
      <c r="CE108" s="4">
        <v>0</v>
      </c>
      <c r="CF108" s="4">
        <v>0</v>
      </c>
      <c r="CG108" s="4">
        <v>0</v>
      </c>
      <c r="CH108" s="4">
        <v>0</v>
      </c>
      <c r="CI108" s="4">
        <v>0</v>
      </c>
      <c r="CJ108" s="35">
        <v>0</v>
      </c>
      <c r="CK108" s="4">
        <v>0</v>
      </c>
      <c r="CL108" s="35">
        <v>0</v>
      </c>
      <c r="CM108" s="4">
        <v>0</v>
      </c>
      <c r="CN108" s="4">
        <v>0</v>
      </c>
      <c r="CO108" s="4">
        <v>0</v>
      </c>
      <c r="CP108" s="4">
        <v>0</v>
      </c>
      <c r="CQ108" s="4">
        <v>0</v>
      </c>
      <c r="CR108" s="4">
        <v>0</v>
      </c>
      <c r="CS108" s="4">
        <v>0</v>
      </c>
    </row>
    <row r="109" spans="1:97" x14ac:dyDescent="0.25">
      <c r="A109" t="s">
        <v>125</v>
      </c>
      <c r="C109" s="23">
        <v>0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  <c r="L109" s="23">
        <v>0</v>
      </c>
      <c r="M109" s="4">
        <v>0</v>
      </c>
      <c r="N109" s="4">
        <v>0</v>
      </c>
      <c r="O109" s="23">
        <v>0</v>
      </c>
      <c r="P109" s="4">
        <v>0</v>
      </c>
      <c r="Q109" s="4">
        <v>0</v>
      </c>
      <c r="R109" s="4">
        <v>0</v>
      </c>
      <c r="S109" s="4">
        <v>0</v>
      </c>
      <c r="T109" s="23">
        <v>0</v>
      </c>
      <c r="U109" s="39">
        <v>0</v>
      </c>
      <c r="V109" s="39">
        <v>0</v>
      </c>
      <c r="W109" s="39">
        <v>0</v>
      </c>
      <c r="X109" s="39">
        <v>0</v>
      </c>
      <c r="Y109" s="23">
        <v>0</v>
      </c>
      <c r="Z109" s="39">
        <v>0</v>
      </c>
      <c r="AA109" s="39">
        <v>0</v>
      </c>
      <c r="AB109" s="39">
        <v>0</v>
      </c>
      <c r="AC109" s="39">
        <v>0</v>
      </c>
      <c r="AD109" s="43">
        <v>0</v>
      </c>
      <c r="AE109" s="4">
        <v>0</v>
      </c>
      <c r="AF109" s="4">
        <v>0</v>
      </c>
      <c r="AG109" s="4">
        <v>0</v>
      </c>
      <c r="AH109" s="4">
        <v>0</v>
      </c>
      <c r="AI109" s="4">
        <v>0</v>
      </c>
      <c r="AJ109" s="23">
        <v>0</v>
      </c>
      <c r="AK109" s="39">
        <v>0</v>
      </c>
      <c r="AL109" s="39">
        <v>0</v>
      </c>
      <c r="AM109" s="39">
        <v>0</v>
      </c>
      <c r="AN109" s="39">
        <v>0</v>
      </c>
      <c r="AO109" s="4">
        <v>0</v>
      </c>
      <c r="AP109" s="23">
        <v>0</v>
      </c>
      <c r="AQ109" s="4">
        <v>0</v>
      </c>
      <c r="AR109" s="4">
        <v>0</v>
      </c>
      <c r="AS109" s="4">
        <v>0</v>
      </c>
      <c r="AT109" s="4">
        <v>0</v>
      </c>
      <c r="AU109" s="4">
        <v>0</v>
      </c>
      <c r="AV109" s="23">
        <v>0</v>
      </c>
      <c r="AW109" s="4">
        <v>0</v>
      </c>
      <c r="AX109" s="4">
        <v>0</v>
      </c>
      <c r="AY109" s="4">
        <v>0</v>
      </c>
      <c r="AZ109" s="4">
        <v>0</v>
      </c>
      <c r="BA109" s="4">
        <v>0</v>
      </c>
      <c r="BB109" s="23">
        <v>0</v>
      </c>
      <c r="BC109" s="4">
        <v>0</v>
      </c>
      <c r="BD109" s="4">
        <v>0</v>
      </c>
      <c r="BE109" s="4">
        <v>0</v>
      </c>
      <c r="BF109" s="43">
        <v>0</v>
      </c>
      <c r="BG109" s="4">
        <v>2199172.0311167673</v>
      </c>
      <c r="BH109" s="4">
        <v>2199172.0311167673</v>
      </c>
      <c r="BI109" s="23">
        <v>2199172.0311167673</v>
      </c>
      <c r="BJ109" s="35">
        <v>2199172.0311167673</v>
      </c>
      <c r="BK109" s="4">
        <v>2199172.0311167673</v>
      </c>
      <c r="BL109" s="35">
        <v>2199172.0311167673</v>
      </c>
      <c r="BM109" s="4">
        <v>2199172.0311167673</v>
      </c>
      <c r="BN109" s="4">
        <v>2199172.0311167673</v>
      </c>
      <c r="BO109" s="4">
        <v>2199172.0311167673</v>
      </c>
      <c r="BP109" s="4">
        <v>2199172.0311167673</v>
      </c>
      <c r="BQ109" s="35">
        <v>2199172.0311167673</v>
      </c>
      <c r="BR109" s="4">
        <v>2199172.0311167673</v>
      </c>
      <c r="BS109" s="35">
        <v>2199172.0311167673</v>
      </c>
      <c r="BT109" s="4">
        <v>2199172.0311167673</v>
      </c>
      <c r="BU109" s="4">
        <v>2199172.0311167673</v>
      </c>
      <c r="BV109" s="4">
        <v>2199172.0311167673</v>
      </c>
      <c r="BW109" s="4">
        <v>2199172.0311167673</v>
      </c>
      <c r="BX109" s="4">
        <v>2199172.0311167673</v>
      </c>
      <c r="BY109" s="4">
        <v>2199172.0311167673</v>
      </c>
      <c r="BZ109" s="4">
        <v>2199172.0311167673</v>
      </c>
      <c r="CA109" s="4">
        <v>2199172.0311167673</v>
      </c>
      <c r="CB109" s="4">
        <v>2199172.0311167673</v>
      </c>
      <c r="CC109" s="4">
        <v>2199172.0311167673</v>
      </c>
      <c r="CD109" s="4">
        <v>2199172.0311167673</v>
      </c>
      <c r="CE109" s="4">
        <v>2199172.0311167673</v>
      </c>
      <c r="CF109" s="4">
        <v>2199172.0311167673</v>
      </c>
      <c r="CG109" s="4">
        <v>2199172.0311167673</v>
      </c>
      <c r="CH109" s="4">
        <v>2199172.0311167673</v>
      </c>
      <c r="CI109" s="4">
        <v>2199172.0311167673</v>
      </c>
      <c r="CJ109" s="35">
        <v>2199172.0311167673</v>
      </c>
      <c r="CK109" s="4">
        <v>2199172.0311167673</v>
      </c>
      <c r="CL109" s="35">
        <v>2199172.0311167673</v>
      </c>
      <c r="CM109" s="4">
        <v>2199172.0311167673</v>
      </c>
      <c r="CN109" s="4">
        <v>2199172.0311167673</v>
      </c>
      <c r="CO109" s="4">
        <v>2199172.0311167673</v>
      </c>
      <c r="CP109" s="4">
        <v>2199172.0311167673</v>
      </c>
      <c r="CQ109" s="4">
        <v>2199172.0311167673</v>
      </c>
      <c r="CR109" s="4">
        <v>2199172.0311167673</v>
      </c>
      <c r="CS109" s="4">
        <v>2199172.0311167673</v>
      </c>
    </row>
    <row r="110" spans="1:97" x14ac:dyDescent="0.25">
      <c r="A110" t="s">
        <v>126</v>
      </c>
      <c r="C110" s="23">
        <v>302582682.68333328</v>
      </c>
      <c r="D110" s="4">
        <v>302582682.68333328</v>
      </c>
      <c r="E110" s="4">
        <v>302582682.68333328</v>
      </c>
      <c r="F110" s="4">
        <v>302582682.68333328</v>
      </c>
      <c r="G110" s="4">
        <v>302582682.68333328</v>
      </c>
      <c r="H110" s="4">
        <v>302582682.68333328</v>
      </c>
      <c r="I110" s="4">
        <v>302582682.68333328</v>
      </c>
      <c r="J110" s="4">
        <v>302582682.68333328</v>
      </c>
      <c r="K110" s="4">
        <v>302582682.68333328</v>
      </c>
      <c r="L110" s="23">
        <v>302582682.68333328</v>
      </c>
      <c r="M110" s="4">
        <v>302582682.68333328</v>
      </c>
      <c r="N110" s="4">
        <v>302582682.68333328</v>
      </c>
      <c r="O110" s="23">
        <v>302582682.68333328</v>
      </c>
      <c r="P110" s="4">
        <v>302582682.68333328</v>
      </c>
      <c r="Q110" s="4">
        <v>326956810.47666681</v>
      </c>
      <c r="R110" s="4">
        <v>326956810.47666681</v>
      </c>
      <c r="S110" s="4">
        <v>326956810.47666681</v>
      </c>
      <c r="T110" s="23">
        <v>326956810.47666681</v>
      </c>
      <c r="U110" s="39">
        <v>326956810.47666681</v>
      </c>
      <c r="V110" s="39">
        <v>326956810.47666681</v>
      </c>
      <c r="W110" s="39">
        <v>326956810.47666681</v>
      </c>
      <c r="X110" s="39">
        <v>326956810.47666681</v>
      </c>
      <c r="Y110" s="23">
        <v>326956810.47666681</v>
      </c>
      <c r="Z110" s="39">
        <v>326956810.47666681</v>
      </c>
      <c r="AA110" s="39">
        <v>326956810.47666681</v>
      </c>
      <c r="AB110" s="39">
        <v>326956810.47666681</v>
      </c>
      <c r="AC110" s="39">
        <v>326956810.47666681</v>
      </c>
      <c r="AD110" s="4">
        <v>326956810.47666681</v>
      </c>
      <c r="AE110" s="4">
        <v>326956810.47666681</v>
      </c>
      <c r="AF110" s="4">
        <v>329658433.29750001</v>
      </c>
      <c r="AG110" s="4">
        <v>329658433.29750001</v>
      </c>
      <c r="AH110" s="4">
        <v>329658433.29750001</v>
      </c>
      <c r="AI110" s="4">
        <v>329658433.29750001</v>
      </c>
      <c r="AJ110" s="23">
        <v>329658433.29750001</v>
      </c>
      <c r="AK110" s="39">
        <v>329658433.29750001</v>
      </c>
      <c r="AL110" s="39">
        <v>329658433.29750001</v>
      </c>
      <c r="AM110" s="39">
        <v>329658433.29750001</v>
      </c>
      <c r="AN110" s="39">
        <v>329658433.29750001</v>
      </c>
      <c r="AO110" s="4">
        <v>329658433.29750001</v>
      </c>
      <c r="AP110" s="23">
        <v>329658433.29750001</v>
      </c>
      <c r="AQ110" s="4">
        <v>329658433.29750001</v>
      </c>
      <c r="AR110" s="4">
        <v>329658433.29750001</v>
      </c>
      <c r="AS110" s="4">
        <v>329658433.29750001</v>
      </c>
      <c r="AT110" s="4">
        <v>329658433.29750001</v>
      </c>
      <c r="AU110" s="4">
        <v>329658433.29750001</v>
      </c>
      <c r="AV110" s="23">
        <v>329658433.29750001</v>
      </c>
      <c r="AW110" s="4">
        <v>329658433.29750001</v>
      </c>
      <c r="AX110" s="4">
        <v>329658433.29750001</v>
      </c>
      <c r="AY110" s="4">
        <v>329658433.29750001</v>
      </c>
      <c r="AZ110" s="4">
        <v>329658433.29750001</v>
      </c>
      <c r="BA110" s="4">
        <v>329658433.29750001</v>
      </c>
      <c r="BB110" s="23">
        <v>329658433.29750001</v>
      </c>
      <c r="BC110" s="4">
        <v>329658433.29750001</v>
      </c>
      <c r="BD110" s="4">
        <v>329658433.29750001</v>
      </c>
      <c r="BE110" s="4">
        <v>329658433.29750001</v>
      </c>
      <c r="BF110" s="4">
        <v>329658433.29750001</v>
      </c>
      <c r="BG110" s="4">
        <v>326412718.21500003</v>
      </c>
      <c r="BH110" s="4">
        <v>326412718.21500003</v>
      </c>
      <c r="BI110" s="23">
        <v>326412718.21500003</v>
      </c>
      <c r="BJ110" s="35">
        <v>326412718.21500003</v>
      </c>
      <c r="BK110" s="4">
        <v>326412718.21500003</v>
      </c>
      <c r="BL110" s="35">
        <v>326412718.21500003</v>
      </c>
      <c r="BM110" s="4">
        <v>326412718.21500003</v>
      </c>
      <c r="BN110" s="4">
        <v>326412718.21500003</v>
      </c>
      <c r="BO110" s="4">
        <v>326412718.21500003</v>
      </c>
      <c r="BP110" s="4">
        <v>326412718.21500003</v>
      </c>
      <c r="BQ110" s="35">
        <v>326412718.21500003</v>
      </c>
      <c r="BR110" s="4">
        <v>326412718.21500003</v>
      </c>
      <c r="BS110" s="35">
        <v>326412718.21500003</v>
      </c>
      <c r="BT110" s="4">
        <v>326412718.21500003</v>
      </c>
      <c r="BU110" s="4">
        <v>326412718.21500003</v>
      </c>
      <c r="BV110" s="4">
        <v>326412718.21500003</v>
      </c>
      <c r="BW110" s="4">
        <v>326412718.21500003</v>
      </c>
      <c r="BX110" s="4">
        <v>326412718.21500003</v>
      </c>
      <c r="BY110" s="4">
        <v>326412718.21500003</v>
      </c>
      <c r="BZ110" s="4">
        <v>326412718.21500003</v>
      </c>
      <c r="CA110" s="4">
        <v>326412718.21500003</v>
      </c>
      <c r="CB110" s="4">
        <v>326412718.21500003</v>
      </c>
      <c r="CC110" s="4">
        <v>326412718.21500003</v>
      </c>
      <c r="CD110" s="4">
        <v>326412718.21500003</v>
      </c>
      <c r="CE110" s="4">
        <v>326412718.21500003</v>
      </c>
      <c r="CF110" s="4">
        <v>326412718.21500003</v>
      </c>
      <c r="CG110" s="4">
        <v>326412718.21500003</v>
      </c>
      <c r="CH110" s="4">
        <v>326412718.21500003</v>
      </c>
      <c r="CI110" s="4">
        <v>326412718.21500003</v>
      </c>
      <c r="CJ110" s="35">
        <v>326412718.21500003</v>
      </c>
      <c r="CK110" s="4">
        <v>326412718.21500003</v>
      </c>
      <c r="CL110" s="35">
        <v>326412718.21500003</v>
      </c>
      <c r="CM110" s="4">
        <v>326412718.21500003</v>
      </c>
      <c r="CN110" s="4">
        <v>326412718.21500003</v>
      </c>
      <c r="CO110" s="4">
        <v>326412718.21500003</v>
      </c>
      <c r="CP110" s="4">
        <v>326412718.21500003</v>
      </c>
      <c r="CQ110" s="4">
        <v>326412718.21500003</v>
      </c>
      <c r="CR110" s="4">
        <v>326412718.21500003</v>
      </c>
      <c r="CS110" s="4">
        <v>326412718.21500003</v>
      </c>
    </row>
    <row r="111" spans="1:97" x14ac:dyDescent="0.25">
      <c r="A111" t="s">
        <v>127</v>
      </c>
      <c r="C111" s="23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v>0</v>
      </c>
      <c r="K111" s="4">
        <v>0</v>
      </c>
      <c r="L111" s="23">
        <v>0</v>
      </c>
      <c r="M111" s="4">
        <v>0</v>
      </c>
      <c r="N111" s="4">
        <v>0</v>
      </c>
      <c r="O111" s="23">
        <v>0</v>
      </c>
      <c r="P111" s="4">
        <v>0</v>
      </c>
      <c r="Q111" s="4">
        <v>0</v>
      </c>
      <c r="R111" s="4">
        <v>0</v>
      </c>
      <c r="S111" s="4">
        <v>0</v>
      </c>
      <c r="T111" s="23">
        <v>0</v>
      </c>
      <c r="U111" s="39">
        <v>0</v>
      </c>
      <c r="V111" s="39">
        <v>0</v>
      </c>
      <c r="W111" s="39">
        <v>0</v>
      </c>
      <c r="X111" s="39">
        <v>0</v>
      </c>
      <c r="Y111" s="23">
        <v>0</v>
      </c>
      <c r="Z111" s="39">
        <v>0</v>
      </c>
      <c r="AA111" s="39">
        <v>0</v>
      </c>
      <c r="AB111" s="39">
        <v>0</v>
      </c>
      <c r="AC111" s="39">
        <v>0</v>
      </c>
      <c r="AD111" s="4">
        <v>0</v>
      </c>
      <c r="AE111" s="4">
        <v>0</v>
      </c>
      <c r="AF111" s="4">
        <v>0</v>
      </c>
      <c r="AG111" s="4">
        <v>0</v>
      </c>
      <c r="AH111" s="4">
        <v>0</v>
      </c>
      <c r="AI111" s="4">
        <v>0</v>
      </c>
      <c r="AJ111" s="23">
        <v>0</v>
      </c>
      <c r="AK111" s="39">
        <v>0</v>
      </c>
      <c r="AL111" s="39">
        <v>0</v>
      </c>
      <c r="AM111" s="39">
        <v>0</v>
      </c>
      <c r="AN111" s="39">
        <v>0</v>
      </c>
      <c r="AO111" s="4">
        <v>0</v>
      </c>
      <c r="AP111" s="23">
        <v>0</v>
      </c>
      <c r="AQ111" s="4">
        <v>0</v>
      </c>
      <c r="AR111" s="4">
        <v>0</v>
      </c>
      <c r="AS111" s="4">
        <v>0</v>
      </c>
      <c r="AT111" s="4">
        <v>0</v>
      </c>
      <c r="AU111" s="4">
        <v>0</v>
      </c>
      <c r="AV111" s="23">
        <v>0</v>
      </c>
      <c r="AW111" s="4">
        <v>0</v>
      </c>
      <c r="AX111" s="4">
        <v>0</v>
      </c>
      <c r="AY111" s="4">
        <v>0</v>
      </c>
      <c r="AZ111" s="4">
        <v>0</v>
      </c>
      <c r="BA111" s="4">
        <v>0</v>
      </c>
      <c r="BB111" s="23">
        <v>0</v>
      </c>
      <c r="BC111" s="4">
        <v>0</v>
      </c>
      <c r="BD111" s="4">
        <v>0</v>
      </c>
      <c r="BE111" s="4">
        <v>0</v>
      </c>
      <c r="BF111" s="4">
        <v>0</v>
      </c>
      <c r="BG111" s="4">
        <v>0</v>
      </c>
      <c r="BH111" s="4">
        <v>0</v>
      </c>
      <c r="BI111" s="23">
        <v>0</v>
      </c>
      <c r="BJ111" s="35">
        <v>0</v>
      </c>
      <c r="BK111" s="4">
        <v>0</v>
      </c>
      <c r="BL111" s="35">
        <v>0</v>
      </c>
      <c r="BM111" s="4">
        <v>0</v>
      </c>
      <c r="BN111" s="4">
        <v>0</v>
      </c>
      <c r="BO111" s="4">
        <v>0</v>
      </c>
      <c r="BP111" s="4">
        <v>0</v>
      </c>
      <c r="BQ111" s="35">
        <v>0</v>
      </c>
      <c r="BR111" s="4">
        <v>0</v>
      </c>
      <c r="BS111" s="35">
        <v>0</v>
      </c>
      <c r="BT111" s="4">
        <v>0</v>
      </c>
      <c r="BU111" s="4">
        <v>0</v>
      </c>
      <c r="BV111" s="4">
        <v>0</v>
      </c>
      <c r="BW111" s="4">
        <v>0</v>
      </c>
      <c r="BX111" s="4">
        <v>0</v>
      </c>
      <c r="BY111" s="4">
        <v>0</v>
      </c>
      <c r="BZ111" s="4">
        <v>0</v>
      </c>
      <c r="CA111" s="4">
        <v>0</v>
      </c>
      <c r="CB111" s="4">
        <v>0</v>
      </c>
      <c r="CC111" s="4">
        <v>0</v>
      </c>
      <c r="CD111" s="4">
        <v>0</v>
      </c>
      <c r="CE111" s="4">
        <v>0</v>
      </c>
      <c r="CF111" s="4">
        <v>0</v>
      </c>
      <c r="CG111" s="4">
        <v>0</v>
      </c>
      <c r="CH111" s="4">
        <v>0</v>
      </c>
      <c r="CI111" s="4">
        <v>0</v>
      </c>
      <c r="CJ111" s="35">
        <v>0</v>
      </c>
      <c r="CK111" s="4">
        <v>0</v>
      </c>
      <c r="CL111" s="35">
        <v>0</v>
      </c>
      <c r="CM111" s="4">
        <v>0</v>
      </c>
      <c r="CN111" s="4">
        <v>0</v>
      </c>
      <c r="CO111" s="4">
        <v>0</v>
      </c>
      <c r="CP111" s="4">
        <v>0</v>
      </c>
      <c r="CQ111" s="4">
        <v>0</v>
      </c>
      <c r="CR111" s="4">
        <v>0</v>
      </c>
      <c r="CS111" s="4">
        <v>0</v>
      </c>
    </row>
    <row r="112" spans="1:97" x14ac:dyDescent="0.25">
      <c r="A112" t="s">
        <v>128</v>
      </c>
      <c r="C112" s="23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  <c r="L112" s="23">
        <v>0</v>
      </c>
      <c r="M112" s="4">
        <v>0</v>
      </c>
      <c r="N112" s="4">
        <v>0</v>
      </c>
      <c r="O112" s="23">
        <v>0</v>
      </c>
      <c r="P112" s="4">
        <v>0</v>
      </c>
      <c r="Q112" s="4">
        <v>0</v>
      </c>
      <c r="R112" s="4">
        <v>0</v>
      </c>
      <c r="S112" s="4">
        <v>0</v>
      </c>
      <c r="T112" s="23">
        <v>0</v>
      </c>
      <c r="U112" s="39">
        <v>0</v>
      </c>
      <c r="V112" s="39">
        <v>0</v>
      </c>
      <c r="W112" s="39">
        <v>0</v>
      </c>
      <c r="X112" s="39">
        <v>0</v>
      </c>
      <c r="Y112" s="23">
        <v>0</v>
      </c>
      <c r="Z112" s="39">
        <v>0</v>
      </c>
      <c r="AA112" s="39">
        <v>0</v>
      </c>
      <c r="AB112" s="39">
        <v>0</v>
      </c>
      <c r="AC112" s="39">
        <v>0</v>
      </c>
      <c r="AD112" s="4">
        <v>0</v>
      </c>
      <c r="AE112" s="4">
        <v>0</v>
      </c>
      <c r="AF112" s="4">
        <v>273254639.64839602</v>
      </c>
      <c r="AG112" s="4">
        <v>273254639.64839602</v>
      </c>
      <c r="AH112" s="4">
        <v>273254639.64839602</v>
      </c>
      <c r="AI112" s="4">
        <v>273254639.64839602</v>
      </c>
      <c r="AJ112" s="23">
        <v>273254639.64839602</v>
      </c>
      <c r="AK112" s="39">
        <v>273254639.64839602</v>
      </c>
      <c r="AL112" s="39">
        <v>273254639.64839602</v>
      </c>
      <c r="AM112" s="39">
        <v>273254639.64839602</v>
      </c>
      <c r="AN112" s="39">
        <v>273254639.64839602</v>
      </c>
      <c r="AO112" s="4">
        <v>273254639.64839602</v>
      </c>
      <c r="AP112" s="23">
        <v>273254639.64839602</v>
      </c>
      <c r="AQ112" s="4">
        <v>273254639.64839602</v>
      </c>
      <c r="AR112" s="4">
        <v>273254639.64839602</v>
      </c>
      <c r="AS112" s="4">
        <v>273254639.64839602</v>
      </c>
      <c r="AT112" s="4">
        <v>273254639.64839602</v>
      </c>
      <c r="AU112" s="4">
        <v>273254639.64839602</v>
      </c>
      <c r="AV112" s="23">
        <v>273254639.64839602</v>
      </c>
      <c r="AW112" s="4">
        <v>273254639.64839602</v>
      </c>
      <c r="AX112" s="4">
        <v>273254639.64839602</v>
      </c>
      <c r="AY112" s="4">
        <v>273254639.64839602</v>
      </c>
      <c r="AZ112" s="4">
        <v>273254639.64839602</v>
      </c>
      <c r="BA112" s="4">
        <v>273254639.64839602</v>
      </c>
      <c r="BB112" s="23">
        <v>273254639.64839602</v>
      </c>
      <c r="BC112" s="4">
        <v>273254639.64839602</v>
      </c>
      <c r="BD112" s="4">
        <v>273254639.64839602</v>
      </c>
      <c r="BE112" s="4">
        <v>273254639.64839602</v>
      </c>
      <c r="BF112" s="4">
        <v>273254639.64839602</v>
      </c>
      <c r="BG112" s="4">
        <v>0</v>
      </c>
      <c r="BH112" s="4">
        <v>0</v>
      </c>
      <c r="BI112" s="23">
        <v>0</v>
      </c>
      <c r="BJ112" s="35">
        <v>0</v>
      </c>
      <c r="BK112" s="4">
        <v>0</v>
      </c>
      <c r="BL112" s="35">
        <v>0</v>
      </c>
      <c r="BM112" s="4">
        <v>0</v>
      </c>
      <c r="BN112" s="4">
        <v>0</v>
      </c>
      <c r="BO112" s="4">
        <v>0</v>
      </c>
      <c r="BP112" s="4">
        <v>0</v>
      </c>
      <c r="BQ112" s="35">
        <v>0</v>
      </c>
      <c r="BR112" s="4">
        <v>0</v>
      </c>
      <c r="BS112" s="35">
        <v>0</v>
      </c>
      <c r="BT112" s="4">
        <v>0</v>
      </c>
      <c r="BU112" s="4">
        <v>0</v>
      </c>
      <c r="BV112" s="4">
        <v>0</v>
      </c>
      <c r="BW112" s="4">
        <v>0</v>
      </c>
      <c r="BX112" s="4">
        <v>0</v>
      </c>
      <c r="BY112" s="4">
        <v>0</v>
      </c>
      <c r="BZ112" s="4">
        <v>0</v>
      </c>
      <c r="CA112" s="4">
        <v>0</v>
      </c>
      <c r="CB112" s="4">
        <v>0</v>
      </c>
      <c r="CC112" s="4">
        <v>0</v>
      </c>
      <c r="CD112" s="4">
        <v>0</v>
      </c>
      <c r="CE112" s="4">
        <v>0</v>
      </c>
      <c r="CF112" s="4">
        <v>0</v>
      </c>
      <c r="CG112" s="4">
        <v>0</v>
      </c>
      <c r="CH112" s="4">
        <v>0</v>
      </c>
      <c r="CI112" s="4">
        <v>0</v>
      </c>
      <c r="CJ112" s="35">
        <v>0</v>
      </c>
      <c r="CK112" s="4">
        <v>0</v>
      </c>
      <c r="CL112" s="35">
        <v>0</v>
      </c>
      <c r="CM112" s="4">
        <v>0</v>
      </c>
      <c r="CN112" s="4">
        <v>0</v>
      </c>
      <c r="CO112" s="4">
        <v>0</v>
      </c>
      <c r="CP112" s="4">
        <v>0</v>
      </c>
      <c r="CQ112" s="4">
        <v>0</v>
      </c>
      <c r="CR112" s="4">
        <v>0</v>
      </c>
      <c r="CS112" s="4">
        <v>0</v>
      </c>
    </row>
    <row r="113" spans="1:97" x14ac:dyDescent="0.25">
      <c r="A113" t="s">
        <v>129</v>
      </c>
      <c r="C113" s="23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  <c r="L113" s="23">
        <v>0</v>
      </c>
      <c r="M113" s="4">
        <v>0</v>
      </c>
      <c r="N113" s="4">
        <v>0</v>
      </c>
      <c r="O113" s="23">
        <v>0</v>
      </c>
      <c r="P113" s="4">
        <v>0</v>
      </c>
      <c r="Q113" s="4">
        <v>0</v>
      </c>
      <c r="R113" s="4">
        <v>0</v>
      </c>
      <c r="S113" s="4">
        <v>0</v>
      </c>
      <c r="T113" s="23">
        <v>0</v>
      </c>
      <c r="U113" s="39">
        <v>0</v>
      </c>
      <c r="V113" s="39">
        <v>0</v>
      </c>
      <c r="W113" s="39">
        <v>0</v>
      </c>
      <c r="X113" s="39">
        <v>0</v>
      </c>
      <c r="Y113" s="23">
        <v>0</v>
      </c>
      <c r="Z113" s="39">
        <v>0</v>
      </c>
      <c r="AA113" s="39">
        <v>0</v>
      </c>
      <c r="AB113" s="39">
        <v>0</v>
      </c>
      <c r="AC113" s="39">
        <v>0</v>
      </c>
      <c r="AD113" s="4">
        <v>0</v>
      </c>
      <c r="AE113" s="4">
        <v>0</v>
      </c>
      <c r="AF113" s="4">
        <v>0</v>
      </c>
      <c r="AG113" s="4">
        <v>0</v>
      </c>
      <c r="AH113" s="4">
        <v>0</v>
      </c>
      <c r="AI113" s="4">
        <v>0</v>
      </c>
      <c r="AJ113" s="23">
        <v>0</v>
      </c>
      <c r="AK113" s="39">
        <v>0</v>
      </c>
      <c r="AL113" s="39">
        <v>0</v>
      </c>
      <c r="AM113" s="39">
        <v>0</v>
      </c>
      <c r="AN113" s="39">
        <v>0</v>
      </c>
      <c r="AO113" s="4">
        <v>0</v>
      </c>
      <c r="AP113" s="23">
        <v>0</v>
      </c>
      <c r="AQ113" s="4">
        <v>0</v>
      </c>
      <c r="AR113" s="4">
        <v>0</v>
      </c>
      <c r="AS113" s="4">
        <v>0</v>
      </c>
      <c r="AT113" s="4">
        <v>0</v>
      </c>
      <c r="AU113" s="4">
        <v>0</v>
      </c>
      <c r="AV113" s="23">
        <v>0</v>
      </c>
      <c r="AW113" s="4">
        <v>0</v>
      </c>
      <c r="AX113" s="4">
        <v>0</v>
      </c>
      <c r="AY113" s="4">
        <v>0</v>
      </c>
      <c r="AZ113" s="4">
        <v>0</v>
      </c>
      <c r="BA113" s="4">
        <v>0</v>
      </c>
      <c r="BB113" s="23">
        <v>0</v>
      </c>
      <c r="BC113" s="4">
        <v>0</v>
      </c>
      <c r="BD113" s="4">
        <v>0</v>
      </c>
      <c r="BE113" s="4">
        <v>0</v>
      </c>
      <c r="BF113" s="4">
        <v>0</v>
      </c>
      <c r="BG113" s="4">
        <v>0</v>
      </c>
      <c r="BH113" s="4">
        <v>0</v>
      </c>
      <c r="BI113" s="23">
        <v>0</v>
      </c>
      <c r="BJ113" s="35">
        <v>0</v>
      </c>
      <c r="BK113" s="4">
        <v>0</v>
      </c>
      <c r="BL113" s="35">
        <v>0</v>
      </c>
      <c r="BM113" s="4">
        <v>0</v>
      </c>
      <c r="BN113" s="4">
        <v>0</v>
      </c>
      <c r="BO113" s="4">
        <v>0</v>
      </c>
      <c r="BP113" s="4">
        <v>0</v>
      </c>
      <c r="BQ113" s="35">
        <v>0</v>
      </c>
      <c r="BR113" s="4">
        <v>0</v>
      </c>
      <c r="BS113" s="35">
        <v>0</v>
      </c>
      <c r="BT113" s="4">
        <v>0</v>
      </c>
      <c r="BU113" s="4">
        <v>0</v>
      </c>
      <c r="BV113" s="4">
        <v>0</v>
      </c>
      <c r="BW113" s="4">
        <v>0</v>
      </c>
      <c r="BX113" s="4">
        <v>0</v>
      </c>
      <c r="BY113" s="4">
        <v>0</v>
      </c>
      <c r="BZ113" s="4">
        <v>0</v>
      </c>
      <c r="CA113" s="4">
        <v>0</v>
      </c>
      <c r="CB113" s="4">
        <v>0</v>
      </c>
      <c r="CC113" s="4">
        <v>0</v>
      </c>
      <c r="CD113" s="4">
        <v>0</v>
      </c>
      <c r="CE113" s="4">
        <v>0</v>
      </c>
      <c r="CF113" s="4">
        <v>0</v>
      </c>
      <c r="CG113" s="4">
        <v>0</v>
      </c>
      <c r="CH113" s="4">
        <v>0</v>
      </c>
      <c r="CI113" s="4">
        <v>0</v>
      </c>
      <c r="CJ113" s="35">
        <v>0</v>
      </c>
      <c r="CK113" s="4">
        <v>0</v>
      </c>
      <c r="CL113" s="35">
        <v>0</v>
      </c>
      <c r="CM113" s="4">
        <v>0</v>
      </c>
      <c r="CN113" s="4">
        <v>0</v>
      </c>
      <c r="CO113" s="4">
        <v>0</v>
      </c>
      <c r="CP113" s="4">
        <v>0</v>
      </c>
      <c r="CQ113" s="4">
        <v>0</v>
      </c>
      <c r="CR113" s="4">
        <v>0</v>
      </c>
      <c r="CS113" s="4">
        <v>0</v>
      </c>
    </row>
    <row r="114" spans="1:97" x14ac:dyDescent="0.25">
      <c r="A114" t="s">
        <v>130</v>
      </c>
      <c r="C114" s="23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  <c r="L114" s="23">
        <v>0</v>
      </c>
      <c r="M114" s="4">
        <v>0</v>
      </c>
      <c r="N114" s="4">
        <v>0</v>
      </c>
      <c r="O114" s="23">
        <v>0</v>
      </c>
      <c r="P114" s="4">
        <v>0</v>
      </c>
      <c r="Q114" s="4">
        <v>0</v>
      </c>
      <c r="R114" s="4">
        <v>0</v>
      </c>
      <c r="S114" s="4">
        <v>0</v>
      </c>
      <c r="T114" s="23">
        <v>0</v>
      </c>
      <c r="U114" s="39">
        <v>0</v>
      </c>
      <c r="V114" s="39">
        <v>0</v>
      </c>
      <c r="W114" s="39">
        <v>0</v>
      </c>
      <c r="X114" s="39">
        <v>0</v>
      </c>
      <c r="Y114" s="23">
        <v>0</v>
      </c>
      <c r="Z114" s="39">
        <v>0</v>
      </c>
      <c r="AA114" s="39">
        <v>0</v>
      </c>
      <c r="AB114" s="39">
        <v>0</v>
      </c>
      <c r="AC114" s="39">
        <v>0</v>
      </c>
      <c r="AD114" s="4">
        <v>0</v>
      </c>
      <c r="AE114" s="4">
        <v>0</v>
      </c>
      <c r="AF114" s="4">
        <v>0</v>
      </c>
      <c r="AG114" s="4">
        <v>0</v>
      </c>
      <c r="AH114" s="4">
        <v>0</v>
      </c>
      <c r="AI114" s="4">
        <v>0</v>
      </c>
      <c r="AJ114" s="23">
        <v>0</v>
      </c>
      <c r="AK114" s="39">
        <v>0</v>
      </c>
      <c r="AL114" s="39">
        <v>0</v>
      </c>
      <c r="AM114" s="39">
        <v>0</v>
      </c>
      <c r="AN114" s="39">
        <v>0</v>
      </c>
      <c r="AO114" s="4">
        <v>0</v>
      </c>
      <c r="AP114" s="23">
        <v>0</v>
      </c>
      <c r="AQ114" s="4">
        <v>0</v>
      </c>
      <c r="AR114" s="4">
        <v>0</v>
      </c>
      <c r="AS114" s="4">
        <v>0</v>
      </c>
      <c r="AT114" s="4">
        <v>0</v>
      </c>
      <c r="AU114" s="4">
        <v>0</v>
      </c>
      <c r="AV114" s="23">
        <v>0</v>
      </c>
      <c r="AW114" s="4">
        <v>0</v>
      </c>
      <c r="AX114" s="4">
        <v>0</v>
      </c>
      <c r="AY114" s="4">
        <v>0</v>
      </c>
      <c r="AZ114" s="4">
        <v>0</v>
      </c>
      <c r="BA114" s="4">
        <v>0</v>
      </c>
      <c r="BB114" s="23">
        <v>0</v>
      </c>
      <c r="BC114" s="4">
        <v>0</v>
      </c>
      <c r="BD114" s="4">
        <v>0</v>
      </c>
      <c r="BE114" s="4">
        <v>0</v>
      </c>
      <c r="BF114" s="4">
        <v>0</v>
      </c>
      <c r="BG114" s="4">
        <v>0</v>
      </c>
      <c r="BH114" s="4">
        <v>0</v>
      </c>
      <c r="BI114" s="23">
        <v>0</v>
      </c>
      <c r="BJ114" s="35">
        <v>0</v>
      </c>
      <c r="BK114" s="4">
        <v>0</v>
      </c>
      <c r="BL114" s="35">
        <v>0</v>
      </c>
      <c r="BM114" s="4">
        <v>0</v>
      </c>
      <c r="BN114" s="4">
        <v>0</v>
      </c>
      <c r="BO114" s="4">
        <v>0</v>
      </c>
      <c r="BP114" s="4">
        <v>0</v>
      </c>
      <c r="BQ114" s="35">
        <v>0</v>
      </c>
      <c r="BR114" s="4">
        <v>0</v>
      </c>
      <c r="BS114" s="35">
        <v>0</v>
      </c>
      <c r="BT114" s="4">
        <v>0</v>
      </c>
      <c r="BU114" s="4">
        <v>0</v>
      </c>
      <c r="BV114" s="4">
        <v>0</v>
      </c>
      <c r="BW114" s="4">
        <v>0</v>
      </c>
      <c r="BX114" s="4">
        <v>0</v>
      </c>
      <c r="BY114" s="4">
        <v>0</v>
      </c>
      <c r="BZ114" s="4">
        <v>0</v>
      </c>
      <c r="CA114" s="4">
        <v>0</v>
      </c>
      <c r="CB114" s="4">
        <v>0</v>
      </c>
      <c r="CC114" s="4">
        <v>0</v>
      </c>
      <c r="CD114" s="4">
        <v>0</v>
      </c>
      <c r="CE114" s="4">
        <v>0</v>
      </c>
      <c r="CF114" s="4">
        <v>0</v>
      </c>
      <c r="CG114" s="4">
        <v>0</v>
      </c>
      <c r="CH114" s="4">
        <v>0</v>
      </c>
      <c r="CI114" s="4">
        <v>0</v>
      </c>
      <c r="CJ114" s="35">
        <v>0</v>
      </c>
      <c r="CK114" s="4">
        <v>0</v>
      </c>
      <c r="CL114" s="35">
        <v>0</v>
      </c>
      <c r="CM114" s="4">
        <v>0</v>
      </c>
      <c r="CN114" s="4">
        <v>0</v>
      </c>
      <c r="CO114" s="4">
        <v>0</v>
      </c>
      <c r="CP114" s="4">
        <v>0</v>
      </c>
      <c r="CQ114" s="4">
        <v>0</v>
      </c>
      <c r="CR114" s="4">
        <v>0</v>
      </c>
      <c r="CS114" s="4">
        <v>0</v>
      </c>
    </row>
    <row r="115" spans="1:97" x14ac:dyDescent="0.25">
      <c r="A115" t="s">
        <v>131</v>
      </c>
      <c r="C115" s="23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  <c r="L115" s="23">
        <v>0</v>
      </c>
      <c r="M115" s="4">
        <v>0</v>
      </c>
      <c r="N115" s="4">
        <v>0</v>
      </c>
      <c r="O115" s="23">
        <v>0</v>
      </c>
      <c r="P115" s="4">
        <v>0</v>
      </c>
      <c r="Q115" s="4">
        <v>0</v>
      </c>
      <c r="R115" s="4">
        <v>0</v>
      </c>
      <c r="S115" s="4">
        <v>0</v>
      </c>
      <c r="T115" s="23">
        <v>0</v>
      </c>
      <c r="U115" s="39">
        <v>0</v>
      </c>
      <c r="V115" s="39">
        <v>0</v>
      </c>
      <c r="W115" s="39">
        <v>0</v>
      </c>
      <c r="X115" s="39">
        <v>0</v>
      </c>
      <c r="Y115" s="23">
        <v>0</v>
      </c>
      <c r="Z115" s="39">
        <v>0</v>
      </c>
      <c r="AA115" s="39">
        <v>0</v>
      </c>
      <c r="AB115" s="39">
        <v>0</v>
      </c>
      <c r="AC115" s="39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0</v>
      </c>
      <c r="AJ115" s="23">
        <v>0</v>
      </c>
      <c r="AK115" s="39">
        <v>0</v>
      </c>
      <c r="AL115" s="39">
        <v>0</v>
      </c>
      <c r="AM115" s="39">
        <v>0</v>
      </c>
      <c r="AN115" s="39">
        <v>0</v>
      </c>
      <c r="AO115" s="4">
        <v>0</v>
      </c>
      <c r="AP115" s="23">
        <v>0</v>
      </c>
      <c r="AQ115" s="4">
        <v>0</v>
      </c>
      <c r="AR115" s="4">
        <v>0</v>
      </c>
      <c r="AS115" s="4">
        <v>0</v>
      </c>
      <c r="AT115" s="4">
        <v>0</v>
      </c>
      <c r="AU115" s="4">
        <v>0</v>
      </c>
      <c r="AV115" s="23">
        <v>0</v>
      </c>
      <c r="AW115" s="4">
        <v>0</v>
      </c>
      <c r="AX115" s="4">
        <v>0</v>
      </c>
      <c r="AY115" s="4">
        <v>0</v>
      </c>
      <c r="AZ115" s="4">
        <v>0</v>
      </c>
      <c r="BA115" s="4">
        <v>0</v>
      </c>
      <c r="BB115" s="23">
        <v>0</v>
      </c>
      <c r="BC115" s="4">
        <v>0</v>
      </c>
      <c r="BD115" s="4">
        <v>0</v>
      </c>
      <c r="BE115" s="4">
        <v>0</v>
      </c>
      <c r="BF115" s="4">
        <v>0</v>
      </c>
      <c r="BG115" s="4">
        <v>0</v>
      </c>
      <c r="BH115" s="4">
        <v>0</v>
      </c>
      <c r="BI115" s="23">
        <v>0</v>
      </c>
      <c r="BJ115" s="35">
        <v>0</v>
      </c>
      <c r="BK115" s="4">
        <v>0</v>
      </c>
      <c r="BL115" s="35">
        <v>0</v>
      </c>
      <c r="BM115" s="4">
        <v>0</v>
      </c>
      <c r="BN115" s="4">
        <v>0</v>
      </c>
      <c r="BO115" s="4">
        <v>0</v>
      </c>
      <c r="BP115" s="4">
        <v>0</v>
      </c>
      <c r="BQ115" s="35">
        <v>0</v>
      </c>
      <c r="BR115" s="4">
        <v>0</v>
      </c>
      <c r="BS115" s="35">
        <v>0</v>
      </c>
      <c r="BT115" s="4">
        <v>0</v>
      </c>
      <c r="BU115" s="4">
        <v>0</v>
      </c>
      <c r="BV115" s="4">
        <v>0</v>
      </c>
      <c r="BW115" s="4">
        <v>0</v>
      </c>
      <c r="BX115" s="4">
        <v>0</v>
      </c>
      <c r="BY115" s="4">
        <v>0</v>
      </c>
      <c r="BZ115" s="4">
        <v>0</v>
      </c>
      <c r="CA115" s="4">
        <v>0</v>
      </c>
      <c r="CB115" s="4">
        <v>0</v>
      </c>
      <c r="CC115" s="4">
        <v>0</v>
      </c>
      <c r="CD115" s="4">
        <v>0</v>
      </c>
      <c r="CE115" s="4">
        <v>0</v>
      </c>
      <c r="CF115" s="4">
        <v>0</v>
      </c>
      <c r="CG115" s="4">
        <v>0</v>
      </c>
      <c r="CH115" s="4">
        <v>0</v>
      </c>
      <c r="CI115" s="4">
        <v>0</v>
      </c>
      <c r="CJ115" s="35">
        <v>0</v>
      </c>
      <c r="CK115" s="4">
        <v>0</v>
      </c>
      <c r="CL115" s="35">
        <v>0</v>
      </c>
      <c r="CM115" s="4">
        <v>0</v>
      </c>
      <c r="CN115" s="4">
        <v>0</v>
      </c>
      <c r="CO115" s="4">
        <v>0</v>
      </c>
      <c r="CP115" s="4">
        <v>0</v>
      </c>
      <c r="CQ115" s="4">
        <v>0</v>
      </c>
      <c r="CR115" s="4">
        <v>0</v>
      </c>
      <c r="CS115" s="4">
        <v>0</v>
      </c>
    </row>
    <row r="116" spans="1:97" x14ac:dyDescent="0.25">
      <c r="A116" t="s">
        <v>132</v>
      </c>
      <c r="C116" s="23">
        <v>0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  <c r="L116" s="23">
        <v>0</v>
      </c>
      <c r="M116" s="4">
        <v>0</v>
      </c>
      <c r="N116" s="4">
        <v>0</v>
      </c>
      <c r="O116" s="23">
        <v>0</v>
      </c>
      <c r="P116" s="4">
        <v>0</v>
      </c>
      <c r="Q116" s="4">
        <v>0</v>
      </c>
      <c r="R116" s="4">
        <v>0</v>
      </c>
      <c r="S116" s="4">
        <v>0</v>
      </c>
      <c r="T116" s="23">
        <v>0</v>
      </c>
      <c r="U116" s="39">
        <v>0</v>
      </c>
      <c r="V116" s="39">
        <v>0</v>
      </c>
      <c r="W116" s="39">
        <v>0</v>
      </c>
      <c r="X116" s="39">
        <v>0</v>
      </c>
      <c r="Y116" s="23">
        <v>0</v>
      </c>
      <c r="Z116" s="39">
        <v>0</v>
      </c>
      <c r="AA116" s="39">
        <v>0</v>
      </c>
      <c r="AB116" s="39">
        <v>0</v>
      </c>
      <c r="AC116" s="39">
        <v>0</v>
      </c>
      <c r="AD116" s="43">
        <v>0</v>
      </c>
      <c r="AE116" s="4">
        <v>0</v>
      </c>
      <c r="AF116" s="4">
        <v>6914154.1100000003</v>
      </c>
      <c r="AG116" s="4">
        <v>6914154.1100000003</v>
      </c>
      <c r="AH116" s="4">
        <v>6914154.1100000003</v>
      </c>
      <c r="AI116" s="4">
        <v>6914154.1100000003</v>
      </c>
      <c r="AJ116" s="23">
        <v>6914154.1100000003</v>
      </c>
      <c r="AK116" s="39">
        <v>6914154.1100000003</v>
      </c>
      <c r="AL116" s="39">
        <v>6914154.1100000003</v>
      </c>
      <c r="AM116" s="39">
        <v>6914154.1100000003</v>
      </c>
      <c r="AN116" s="39">
        <v>6914154.1100000003</v>
      </c>
      <c r="AO116" s="4">
        <v>6914154.1100000003</v>
      </c>
      <c r="AP116" s="23">
        <v>6914154.1100000003</v>
      </c>
      <c r="AQ116" s="4">
        <v>6914154.1100000003</v>
      </c>
      <c r="AR116" s="4">
        <v>6914154.1100000003</v>
      </c>
      <c r="AS116" s="4">
        <v>6914154.1100000003</v>
      </c>
      <c r="AT116" s="4">
        <v>6914154.1100000003</v>
      </c>
      <c r="AU116" s="4">
        <v>6914154.1100000003</v>
      </c>
      <c r="AV116" s="23">
        <v>6914154.1100000003</v>
      </c>
      <c r="AW116" s="4">
        <v>6914154.1100000003</v>
      </c>
      <c r="AX116" s="4">
        <v>6914154.1100000003</v>
      </c>
      <c r="AY116" s="4">
        <v>6914154.1100000003</v>
      </c>
      <c r="AZ116" s="4">
        <v>6914154.1100000003</v>
      </c>
      <c r="BA116" s="4">
        <v>6914154.1100000003</v>
      </c>
      <c r="BB116" s="23">
        <v>6914154.1100000003</v>
      </c>
      <c r="BC116" s="4">
        <v>6914154.1100000003</v>
      </c>
      <c r="BD116" s="4">
        <v>6914154.1100000003</v>
      </c>
      <c r="BE116" s="4">
        <v>6914154.1100000003</v>
      </c>
      <c r="BF116" s="43">
        <v>6914154.1100000003</v>
      </c>
      <c r="BG116" s="4">
        <v>0</v>
      </c>
      <c r="BH116" s="4">
        <v>0</v>
      </c>
      <c r="BI116" s="23">
        <v>0</v>
      </c>
      <c r="BJ116" s="35">
        <v>0</v>
      </c>
      <c r="BK116" s="4">
        <v>0</v>
      </c>
      <c r="BL116" s="35">
        <v>0</v>
      </c>
      <c r="BM116" s="4">
        <v>0</v>
      </c>
      <c r="BN116" s="4">
        <v>0</v>
      </c>
      <c r="BO116" s="4">
        <v>0</v>
      </c>
      <c r="BP116" s="4">
        <v>0</v>
      </c>
      <c r="BQ116" s="35">
        <v>0</v>
      </c>
      <c r="BR116" s="4">
        <v>0</v>
      </c>
      <c r="BS116" s="35">
        <v>0</v>
      </c>
      <c r="BT116" s="4">
        <v>0</v>
      </c>
      <c r="BU116" s="4">
        <v>0</v>
      </c>
      <c r="BV116" s="4">
        <v>0</v>
      </c>
      <c r="BW116" s="4">
        <v>0</v>
      </c>
      <c r="BX116" s="4">
        <v>0</v>
      </c>
      <c r="BY116" s="4">
        <v>0</v>
      </c>
      <c r="BZ116" s="4">
        <v>0</v>
      </c>
      <c r="CA116" s="4">
        <v>0</v>
      </c>
      <c r="CB116" s="4">
        <v>0</v>
      </c>
      <c r="CC116" s="4">
        <v>0</v>
      </c>
      <c r="CD116" s="4">
        <v>0</v>
      </c>
      <c r="CE116" s="4">
        <v>0</v>
      </c>
      <c r="CF116" s="4">
        <v>0</v>
      </c>
      <c r="CG116" s="4">
        <v>0</v>
      </c>
      <c r="CH116" s="4">
        <v>0</v>
      </c>
      <c r="CI116" s="4">
        <v>0</v>
      </c>
      <c r="CJ116" s="35">
        <v>0</v>
      </c>
      <c r="CK116" s="4">
        <v>0</v>
      </c>
      <c r="CL116" s="35">
        <v>0</v>
      </c>
      <c r="CM116" s="4">
        <v>0</v>
      </c>
      <c r="CN116" s="4">
        <v>0</v>
      </c>
      <c r="CO116" s="4">
        <v>0</v>
      </c>
      <c r="CP116" s="4">
        <v>0</v>
      </c>
      <c r="CQ116" s="4">
        <v>0</v>
      </c>
      <c r="CR116" s="4">
        <v>0</v>
      </c>
      <c r="CS116" s="4">
        <v>0</v>
      </c>
    </row>
    <row r="117" spans="1:97" x14ac:dyDescent="0.25">
      <c r="A117" t="s">
        <v>133</v>
      </c>
      <c r="C117" s="23">
        <v>0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  <c r="L117" s="23">
        <v>0</v>
      </c>
      <c r="M117" s="4">
        <v>0</v>
      </c>
      <c r="N117" s="4">
        <v>0</v>
      </c>
      <c r="O117" s="23">
        <v>0</v>
      </c>
      <c r="P117" s="4">
        <v>0</v>
      </c>
      <c r="Q117" s="4">
        <v>0</v>
      </c>
      <c r="R117" s="4">
        <v>0</v>
      </c>
      <c r="S117" s="4">
        <v>0</v>
      </c>
      <c r="T117" s="23">
        <v>0</v>
      </c>
      <c r="U117" s="39">
        <v>0</v>
      </c>
      <c r="V117" s="39">
        <v>0</v>
      </c>
      <c r="W117" s="39">
        <v>0</v>
      </c>
      <c r="X117" s="39">
        <v>0</v>
      </c>
      <c r="Y117" s="23">
        <v>0</v>
      </c>
      <c r="Z117" s="39">
        <v>0</v>
      </c>
      <c r="AA117" s="39">
        <v>0</v>
      </c>
      <c r="AB117" s="39">
        <v>0</v>
      </c>
      <c r="AC117" s="39">
        <v>0</v>
      </c>
      <c r="AD117" s="43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23">
        <v>0</v>
      </c>
      <c r="AK117" s="39">
        <v>0</v>
      </c>
      <c r="AL117" s="39">
        <v>0</v>
      </c>
      <c r="AM117" s="39">
        <v>0</v>
      </c>
      <c r="AN117" s="39">
        <v>0</v>
      </c>
      <c r="AO117" s="4">
        <v>0</v>
      </c>
      <c r="AP117" s="23">
        <v>0</v>
      </c>
      <c r="AQ117" s="4">
        <v>0</v>
      </c>
      <c r="AR117" s="4">
        <v>0</v>
      </c>
      <c r="AS117" s="4">
        <v>0</v>
      </c>
      <c r="AT117" s="4">
        <v>0</v>
      </c>
      <c r="AU117" s="4">
        <v>0</v>
      </c>
      <c r="AV117" s="23">
        <v>0</v>
      </c>
      <c r="AW117" s="4">
        <v>0</v>
      </c>
      <c r="AX117" s="4">
        <v>0</v>
      </c>
      <c r="AY117" s="4">
        <v>0</v>
      </c>
      <c r="AZ117" s="4">
        <v>0</v>
      </c>
      <c r="BA117" s="4">
        <v>0</v>
      </c>
      <c r="BB117" s="23">
        <v>0</v>
      </c>
      <c r="BC117" s="4">
        <v>0</v>
      </c>
      <c r="BD117" s="4">
        <v>0</v>
      </c>
      <c r="BE117" s="4">
        <v>0</v>
      </c>
      <c r="BF117" s="43">
        <v>0</v>
      </c>
      <c r="BG117" s="4">
        <v>0</v>
      </c>
      <c r="BH117" s="4">
        <v>0</v>
      </c>
      <c r="BI117" s="23">
        <v>0</v>
      </c>
      <c r="BJ117" s="35">
        <v>0</v>
      </c>
      <c r="BK117" s="4">
        <v>0</v>
      </c>
      <c r="BL117" s="35">
        <v>0</v>
      </c>
      <c r="BM117" s="4">
        <v>0</v>
      </c>
      <c r="BN117" s="4">
        <v>0</v>
      </c>
      <c r="BO117" s="4">
        <v>0</v>
      </c>
      <c r="BP117" s="4">
        <v>0</v>
      </c>
      <c r="BQ117" s="35">
        <v>0</v>
      </c>
      <c r="BR117" s="4">
        <v>0</v>
      </c>
      <c r="BS117" s="35">
        <v>0</v>
      </c>
      <c r="BT117" s="4">
        <v>0</v>
      </c>
      <c r="BU117" s="4">
        <v>0</v>
      </c>
      <c r="BV117" s="4">
        <v>0</v>
      </c>
      <c r="BW117" s="4">
        <v>0</v>
      </c>
      <c r="BX117" s="4">
        <v>0</v>
      </c>
      <c r="BY117" s="4">
        <v>0</v>
      </c>
      <c r="BZ117" s="4">
        <v>0</v>
      </c>
      <c r="CA117" s="4">
        <v>0</v>
      </c>
      <c r="CB117" s="4">
        <v>0</v>
      </c>
      <c r="CC117" s="4">
        <v>0</v>
      </c>
      <c r="CD117" s="4">
        <v>0</v>
      </c>
      <c r="CE117" s="4">
        <v>0</v>
      </c>
      <c r="CF117" s="4">
        <v>0</v>
      </c>
      <c r="CG117" s="4">
        <v>0</v>
      </c>
      <c r="CH117" s="4">
        <v>0</v>
      </c>
      <c r="CI117" s="4">
        <v>0</v>
      </c>
      <c r="CJ117" s="35">
        <v>0</v>
      </c>
      <c r="CK117" s="4">
        <v>0</v>
      </c>
      <c r="CL117" s="35">
        <v>0</v>
      </c>
      <c r="CM117" s="4">
        <v>0</v>
      </c>
      <c r="CN117" s="4">
        <v>0</v>
      </c>
      <c r="CO117" s="4">
        <v>0</v>
      </c>
      <c r="CP117" s="4">
        <v>0</v>
      </c>
      <c r="CQ117" s="4">
        <v>0</v>
      </c>
      <c r="CR117" s="4">
        <v>0</v>
      </c>
      <c r="CS117" s="4">
        <v>0</v>
      </c>
    </row>
    <row r="118" spans="1:97" x14ac:dyDescent="0.25">
      <c r="C118" s="23"/>
      <c r="D118" s="4"/>
      <c r="E118" s="4"/>
      <c r="F118" s="4"/>
      <c r="G118" s="4"/>
      <c r="H118" s="4"/>
      <c r="I118" s="4"/>
      <c r="J118" s="4"/>
      <c r="K118" s="4"/>
      <c r="L118" s="23"/>
      <c r="M118" s="4"/>
      <c r="N118" s="4"/>
      <c r="O118" s="23"/>
      <c r="P118" s="4"/>
      <c r="Q118" s="4"/>
      <c r="R118" s="4"/>
      <c r="S118" s="4"/>
      <c r="T118" s="23"/>
      <c r="U118" s="39"/>
      <c r="V118" s="39"/>
      <c r="W118" s="39"/>
      <c r="X118" s="39"/>
      <c r="Y118" s="23"/>
      <c r="Z118" s="39"/>
      <c r="AA118" s="39"/>
      <c r="AB118" s="39"/>
      <c r="AC118" s="39"/>
      <c r="AD118" s="4"/>
      <c r="AE118" s="4"/>
      <c r="AF118" s="4"/>
      <c r="AG118" s="4"/>
      <c r="AH118" s="4"/>
      <c r="AI118" s="4"/>
      <c r="AJ118" s="23"/>
      <c r="AK118" s="39"/>
      <c r="AL118" s="39"/>
      <c r="AM118" s="39"/>
      <c r="AN118" s="39"/>
      <c r="AO118" s="4"/>
      <c r="AP118" s="23"/>
      <c r="AQ118" s="4"/>
      <c r="AR118" s="4"/>
      <c r="AS118" s="4"/>
      <c r="AT118" s="4"/>
      <c r="AU118" s="4"/>
      <c r="AV118" s="23"/>
      <c r="AW118" s="4"/>
      <c r="AX118" s="4"/>
      <c r="AY118" s="4"/>
      <c r="AZ118" s="4"/>
      <c r="BA118" s="4"/>
      <c r="BB118" s="23"/>
      <c r="BC118" s="4"/>
      <c r="BD118" s="4"/>
      <c r="BE118" s="4"/>
      <c r="BF118" s="4"/>
      <c r="BG118" s="4"/>
      <c r="BH118" s="4"/>
      <c r="BI118" s="23"/>
      <c r="BJ118" s="35"/>
      <c r="BK118" s="4"/>
      <c r="BL118" s="35"/>
      <c r="BM118" s="4"/>
      <c r="BN118" s="4"/>
      <c r="BO118" s="4"/>
      <c r="BP118" s="4"/>
      <c r="BQ118" s="35"/>
      <c r="BR118" s="4"/>
      <c r="BS118" s="35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35"/>
      <c r="CK118" s="4"/>
      <c r="CL118" s="35"/>
      <c r="CM118" s="4"/>
      <c r="CN118" s="4"/>
      <c r="CO118" s="4"/>
      <c r="CP118" s="4"/>
      <c r="CQ118" s="4"/>
      <c r="CR118" s="4"/>
      <c r="CS118" s="4"/>
    </row>
    <row r="119" spans="1:97" x14ac:dyDescent="0.25">
      <c r="A119" s="1" t="s">
        <v>134</v>
      </c>
      <c r="B119" s="2" t="s">
        <v>135</v>
      </c>
      <c r="C119" s="23"/>
      <c r="D119" s="4"/>
      <c r="E119" s="4"/>
      <c r="F119" s="4"/>
      <c r="G119" s="4"/>
      <c r="H119" s="4" t="s">
        <v>215</v>
      </c>
      <c r="I119" s="4"/>
      <c r="J119" s="4"/>
      <c r="K119" s="4"/>
      <c r="L119" s="23"/>
      <c r="M119" s="4"/>
      <c r="N119" s="4"/>
      <c r="O119" s="23"/>
      <c r="P119" s="4"/>
      <c r="Q119" s="4"/>
      <c r="R119" s="4"/>
      <c r="S119" s="4"/>
      <c r="T119" s="23"/>
      <c r="U119" s="39"/>
      <c r="V119" s="39"/>
      <c r="W119" s="39"/>
      <c r="X119" s="39"/>
      <c r="Y119" s="23"/>
      <c r="Z119" s="39"/>
      <c r="AA119" s="39"/>
      <c r="AB119" s="39"/>
      <c r="AC119" s="39"/>
      <c r="AD119" s="4"/>
      <c r="AE119" s="4"/>
      <c r="AF119" s="4"/>
      <c r="AG119" s="4"/>
      <c r="AH119" s="4"/>
      <c r="AI119" s="4"/>
      <c r="AJ119" s="23"/>
      <c r="AK119" s="39"/>
      <c r="AL119" s="39"/>
      <c r="AM119" s="39"/>
      <c r="AN119" s="39"/>
      <c r="AO119" s="4"/>
      <c r="AP119" s="23"/>
      <c r="AQ119" s="4"/>
      <c r="AR119" s="4"/>
      <c r="AS119" s="4"/>
      <c r="AT119" s="4"/>
      <c r="AU119" s="4"/>
      <c r="AV119" s="23"/>
      <c r="AW119" s="4"/>
      <c r="AX119" s="4"/>
      <c r="AY119" s="4"/>
      <c r="AZ119" s="4"/>
      <c r="BA119" s="4"/>
      <c r="BB119" s="23"/>
      <c r="BC119" s="4"/>
      <c r="BD119" s="4"/>
      <c r="BE119" s="4"/>
      <c r="BF119" s="4"/>
      <c r="BG119" s="4"/>
      <c r="BH119" s="4"/>
      <c r="BI119" s="23"/>
      <c r="BJ119" s="35"/>
      <c r="BK119" s="4"/>
      <c r="BL119" s="35"/>
      <c r="BM119" s="4"/>
      <c r="BN119" s="4"/>
      <c r="BO119" s="4"/>
      <c r="BP119" s="4"/>
      <c r="BQ119" s="35"/>
      <c r="BR119" s="4"/>
      <c r="BS119" s="35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35"/>
      <c r="CK119" s="4"/>
      <c r="CL119" s="35"/>
      <c r="CM119" s="4"/>
      <c r="CN119" s="4"/>
      <c r="CO119" s="4"/>
      <c r="CP119" s="4"/>
      <c r="CQ119" s="4"/>
      <c r="CR119" s="4"/>
      <c r="CS119" s="4"/>
    </row>
    <row r="120" spans="1:97" x14ac:dyDescent="0.25">
      <c r="A120" t="s">
        <v>136</v>
      </c>
      <c r="C120" s="23">
        <v>-3241061.1416666666</v>
      </c>
      <c r="D120" s="4">
        <v>-3241061.1416666666</v>
      </c>
      <c r="E120" s="4">
        <v>-3241061.1416666666</v>
      </c>
      <c r="F120" s="4">
        <v>-3241061.1416666666</v>
      </c>
      <c r="G120" s="4">
        <v>-3241061.1416666666</v>
      </c>
      <c r="H120" s="4">
        <v>-3241061.1416666666</v>
      </c>
      <c r="I120" s="4">
        <v>-3241061.1416666666</v>
      </c>
      <c r="J120" s="4">
        <v>-3241061.1416666666</v>
      </c>
      <c r="K120" s="4">
        <v>-3241061.1416666666</v>
      </c>
      <c r="L120" s="23">
        <v>-3241061.1416666666</v>
      </c>
      <c r="M120" s="4">
        <v>-3241061.1416666666</v>
      </c>
      <c r="N120" s="4">
        <v>-3241061.1416666666</v>
      </c>
      <c r="O120" s="23">
        <v>-3241061.1416666666</v>
      </c>
      <c r="P120" s="4">
        <v>-3241061.1416666666</v>
      </c>
      <c r="Q120" s="4">
        <v>0</v>
      </c>
      <c r="R120" s="4">
        <v>0</v>
      </c>
      <c r="S120" s="4">
        <v>0</v>
      </c>
      <c r="T120" s="23">
        <v>0</v>
      </c>
      <c r="U120" s="39">
        <v>0</v>
      </c>
      <c r="V120" s="39">
        <v>0</v>
      </c>
      <c r="W120" s="39">
        <v>0</v>
      </c>
      <c r="X120" s="39">
        <v>0</v>
      </c>
      <c r="Y120" s="23">
        <v>0</v>
      </c>
      <c r="Z120" s="39">
        <v>0</v>
      </c>
      <c r="AA120" s="39">
        <v>0</v>
      </c>
      <c r="AB120" s="39">
        <v>0</v>
      </c>
      <c r="AC120" s="39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23">
        <v>0</v>
      </c>
      <c r="AK120" s="39">
        <v>0</v>
      </c>
      <c r="AL120" s="39">
        <v>0</v>
      </c>
      <c r="AM120" s="39">
        <v>0</v>
      </c>
      <c r="AN120" s="39">
        <v>0</v>
      </c>
      <c r="AO120" s="4">
        <v>0</v>
      </c>
      <c r="AP120" s="23">
        <v>0</v>
      </c>
      <c r="AQ120" s="4">
        <v>0</v>
      </c>
      <c r="AR120" s="4">
        <v>0</v>
      </c>
      <c r="AS120" s="4">
        <v>0</v>
      </c>
      <c r="AT120" s="4">
        <v>0</v>
      </c>
      <c r="AU120" s="4">
        <v>0</v>
      </c>
      <c r="AV120" s="23">
        <v>0</v>
      </c>
      <c r="AW120" s="4">
        <v>0</v>
      </c>
      <c r="AX120" s="4">
        <v>0</v>
      </c>
      <c r="AY120" s="4">
        <v>0</v>
      </c>
      <c r="AZ120" s="4">
        <v>0</v>
      </c>
      <c r="BA120" s="4">
        <v>0</v>
      </c>
      <c r="BB120" s="23">
        <v>0</v>
      </c>
      <c r="BC120" s="4">
        <v>0</v>
      </c>
      <c r="BD120" s="4">
        <v>0</v>
      </c>
      <c r="BE120" s="4">
        <v>0</v>
      </c>
      <c r="BF120" s="4">
        <v>0</v>
      </c>
      <c r="BG120" s="4">
        <v>0</v>
      </c>
      <c r="BH120" s="4">
        <v>0</v>
      </c>
      <c r="BI120" s="23">
        <v>0</v>
      </c>
      <c r="BJ120" s="35">
        <v>0</v>
      </c>
      <c r="BK120" s="4">
        <v>0</v>
      </c>
      <c r="BL120" s="35">
        <v>0</v>
      </c>
      <c r="BM120" s="4">
        <v>0</v>
      </c>
      <c r="BN120" s="4">
        <v>0</v>
      </c>
      <c r="BO120" s="4">
        <v>0</v>
      </c>
      <c r="BP120" s="4">
        <v>0</v>
      </c>
      <c r="BQ120" s="35">
        <v>0</v>
      </c>
      <c r="BR120" s="4">
        <v>0</v>
      </c>
      <c r="BS120" s="35">
        <v>0</v>
      </c>
      <c r="BT120" s="4">
        <v>0</v>
      </c>
      <c r="BU120" s="4">
        <v>0</v>
      </c>
      <c r="BV120" s="4">
        <v>0</v>
      </c>
      <c r="BW120" s="4">
        <v>0</v>
      </c>
      <c r="BX120" s="4">
        <v>0</v>
      </c>
      <c r="BY120" s="4">
        <v>0</v>
      </c>
      <c r="BZ120" s="4">
        <v>0</v>
      </c>
      <c r="CA120" s="4">
        <v>0</v>
      </c>
      <c r="CB120" s="4">
        <v>0</v>
      </c>
      <c r="CC120" s="4">
        <v>0</v>
      </c>
      <c r="CD120" s="4">
        <v>0</v>
      </c>
      <c r="CE120" s="4">
        <v>0</v>
      </c>
      <c r="CF120" s="4">
        <v>0</v>
      </c>
      <c r="CG120" s="4">
        <v>0</v>
      </c>
      <c r="CH120" s="4">
        <v>0</v>
      </c>
      <c r="CI120" s="4">
        <v>0</v>
      </c>
      <c r="CJ120" s="35">
        <v>0</v>
      </c>
      <c r="CK120" s="4">
        <v>0</v>
      </c>
      <c r="CL120" s="35">
        <v>0</v>
      </c>
      <c r="CM120" s="4">
        <v>0</v>
      </c>
      <c r="CN120" s="4">
        <v>0</v>
      </c>
      <c r="CO120" s="4">
        <v>0</v>
      </c>
      <c r="CP120" s="4">
        <v>0</v>
      </c>
      <c r="CQ120" s="4">
        <v>0</v>
      </c>
      <c r="CR120" s="4">
        <v>0</v>
      </c>
      <c r="CS120" s="4">
        <v>0</v>
      </c>
    </row>
    <row r="121" spans="1:97" x14ac:dyDescent="0.25">
      <c r="A121" t="s">
        <v>137</v>
      </c>
      <c r="B121" s="2"/>
      <c r="C121" s="23">
        <v>-33958.334999999999</v>
      </c>
      <c r="D121" s="4">
        <v>-33958.334999999999</v>
      </c>
      <c r="E121" s="4">
        <v>-33958.334999999999</v>
      </c>
      <c r="F121" s="4">
        <v>-33958.334999999999</v>
      </c>
      <c r="G121" s="4">
        <v>-33958.334999999999</v>
      </c>
      <c r="H121" s="4">
        <v>-33958.334999999999</v>
      </c>
      <c r="I121" s="4">
        <v>-33958.334999999999</v>
      </c>
      <c r="J121" s="4">
        <v>-33958.334999999999</v>
      </c>
      <c r="K121" s="4">
        <v>-33958.334999999999</v>
      </c>
      <c r="L121" s="23">
        <v>-33958.334999999999</v>
      </c>
      <c r="M121" s="4">
        <v>-33958.334999999999</v>
      </c>
      <c r="N121" s="4">
        <v>-33958.334999999999</v>
      </c>
      <c r="O121" s="23">
        <v>-33958.334999999999</v>
      </c>
      <c r="P121" s="4">
        <v>-33958.334999999999</v>
      </c>
      <c r="Q121" s="4">
        <v>0</v>
      </c>
      <c r="R121" s="4">
        <v>0</v>
      </c>
      <c r="S121" s="4">
        <v>0</v>
      </c>
      <c r="T121" s="23">
        <v>0</v>
      </c>
      <c r="U121" s="39">
        <v>0</v>
      </c>
      <c r="V121" s="39">
        <v>0</v>
      </c>
      <c r="W121" s="39">
        <v>0</v>
      </c>
      <c r="X121" s="39">
        <v>0</v>
      </c>
      <c r="Y121" s="23">
        <v>0</v>
      </c>
      <c r="Z121" s="39">
        <v>0</v>
      </c>
      <c r="AA121" s="39">
        <v>0</v>
      </c>
      <c r="AB121" s="39">
        <v>0</v>
      </c>
      <c r="AC121" s="39">
        <v>0</v>
      </c>
      <c r="AD121" s="4">
        <v>0</v>
      </c>
      <c r="AE121" s="4">
        <v>0</v>
      </c>
      <c r="AF121" s="4">
        <v>-1377153.5133333334</v>
      </c>
      <c r="AG121" s="4">
        <v>-1377153.5133333334</v>
      </c>
      <c r="AH121" s="4">
        <v>-1377153.5133333334</v>
      </c>
      <c r="AI121" s="4">
        <v>-1377153.5133333334</v>
      </c>
      <c r="AJ121" s="23">
        <v>-1377153.5133333334</v>
      </c>
      <c r="AK121" s="39">
        <v>-1377153.5133333334</v>
      </c>
      <c r="AL121" s="39">
        <v>-1377153.5133333334</v>
      </c>
      <c r="AM121" s="39">
        <v>-1377153.5133333334</v>
      </c>
      <c r="AN121" s="39">
        <v>-1377153.5133333334</v>
      </c>
      <c r="AO121" s="4">
        <v>-1377153.5133333334</v>
      </c>
      <c r="AP121" s="23">
        <v>-1377153.5133333334</v>
      </c>
      <c r="AQ121" s="4">
        <v>-1377153.5133333334</v>
      </c>
      <c r="AR121" s="4">
        <v>-1377153.5133333334</v>
      </c>
      <c r="AS121" s="4">
        <v>-1377153.5133333334</v>
      </c>
      <c r="AT121" s="4">
        <v>-1377153.5133333334</v>
      </c>
      <c r="AU121" s="4">
        <v>-1377153.5133333334</v>
      </c>
      <c r="AV121" s="23">
        <v>-1377153.5133333334</v>
      </c>
      <c r="AW121" s="4">
        <v>-1377153.5133333334</v>
      </c>
      <c r="AX121" s="4">
        <v>-1377153.5133333334</v>
      </c>
      <c r="AY121" s="4">
        <v>-1377153.5133333334</v>
      </c>
      <c r="AZ121" s="4">
        <v>-1377153.5133333334</v>
      </c>
      <c r="BA121" s="4">
        <v>-1377153.5133333334</v>
      </c>
      <c r="BB121" s="23">
        <v>-1377153.5133333334</v>
      </c>
      <c r="BC121" s="4">
        <v>-1377153.5133333334</v>
      </c>
      <c r="BD121" s="4">
        <v>-1377153.5133333334</v>
      </c>
      <c r="BE121" s="4">
        <v>-1377153.5133333334</v>
      </c>
      <c r="BF121" s="4">
        <v>-1377153.5133333334</v>
      </c>
      <c r="BG121" s="4">
        <v>0</v>
      </c>
      <c r="BH121" s="4">
        <v>0</v>
      </c>
      <c r="BI121" s="23">
        <v>0</v>
      </c>
      <c r="BJ121" s="35">
        <v>0</v>
      </c>
      <c r="BK121" s="4">
        <v>0</v>
      </c>
      <c r="BL121" s="35">
        <v>0</v>
      </c>
      <c r="BM121" s="4">
        <v>0</v>
      </c>
      <c r="BN121" s="4">
        <v>0</v>
      </c>
      <c r="BO121" s="4">
        <v>0</v>
      </c>
      <c r="BP121" s="4">
        <v>0</v>
      </c>
      <c r="BQ121" s="35">
        <v>0</v>
      </c>
      <c r="BR121" s="4">
        <v>0</v>
      </c>
      <c r="BS121" s="35">
        <v>0</v>
      </c>
      <c r="BT121" s="4">
        <v>0</v>
      </c>
      <c r="BU121" s="4">
        <v>0</v>
      </c>
      <c r="BV121" s="4">
        <v>0</v>
      </c>
      <c r="BW121" s="4">
        <v>0</v>
      </c>
      <c r="BX121" s="4">
        <v>0</v>
      </c>
      <c r="BY121" s="4">
        <v>0</v>
      </c>
      <c r="BZ121" s="4">
        <v>0</v>
      </c>
      <c r="CA121" s="4">
        <v>0</v>
      </c>
      <c r="CB121" s="4">
        <v>0</v>
      </c>
      <c r="CC121" s="4">
        <v>0</v>
      </c>
      <c r="CD121" s="4">
        <v>0</v>
      </c>
      <c r="CE121" s="4">
        <v>0</v>
      </c>
      <c r="CF121" s="4">
        <v>0</v>
      </c>
      <c r="CG121" s="4">
        <v>0</v>
      </c>
      <c r="CH121" s="4">
        <v>0</v>
      </c>
      <c r="CI121" s="4">
        <v>0</v>
      </c>
      <c r="CJ121" s="35">
        <v>0</v>
      </c>
      <c r="CK121" s="4">
        <v>0</v>
      </c>
      <c r="CL121" s="35">
        <v>0</v>
      </c>
      <c r="CM121" s="4">
        <v>0</v>
      </c>
      <c r="CN121" s="4">
        <v>0</v>
      </c>
      <c r="CO121" s="4">
        <v>0</v>
      </c>
      <c r="CP121" s="4">
        <v>0</v>
      </c>
      <c r="CQ121" s="4">
        <v>0</v>
      </c>
      <c r="CR121" s="4">
        <v>0</v>
      </c>
      <c r="CS121" s="4">
        <v>0</v>
      </c>
    </row>
    <row r="122" spans="1:97" x14ac:dyDescent="0.25">
      <c r="A122" t="s">
        <v>138</v>
      </c>
      <c r="C122" s="23">
        <v>-228400000</v>
      </c>
      <c r="D122" s="4">
        <v>-228400000</v>
      </c>
      <c r="E122" s="4">
        <v>-228400000</v>
      </c>
      <c r="F122" s="4">
        <v>-228400000</v>
      </c>
      <c r="G122" s="4">
        <v>-228400000</v>
      </c>
      <c r="H122" s="4">
        <v>-228400000</v>
      </c>
      <c r="I122" s="4">
        <v>-228400000</v>
      </c>
      <c r="J122" s="4">
        <v>-228400000</v>
      </c>
      <c r="K122" s="4">
        <v>-228400000</v>
      </c>
      <c r="L122" s="23">
        <v>-228400000</v>
      </c>
      <c r="M122" s="4">
        <v>-228400000</v>
      </c>
      <c r="N122" s="4">
        <v>-228400000</v>
      </c>
      <c r="O122" s="23">
        <v>-228400000</v>
      </c>
      <c r="P122" s="4">
        <v>-228400000</v>
      </c>
      <c r="Q122" s="4">
        <v>0</v>
      </c>
      <c r="R122" s="4">
        <v>0</v>
      </c>
      <c r="S122" s="4">
        <v>0</v>
      </c>
      <c r="T122" s="23">
        <v>0</v>
      </c>
      <c r="U122" s="39">
        <v>0</v>
      </c>
      <c r="V122" s="39">
        <v>0</v>
      </c>
      <c r="W122" s="39">
        <v>0</v>
      </c>
      <c r="X122" s="39">
        <v>0</v>
      </c>
      <c r="Y122" s="23">
        <v>0</v>
      </c>
      <c r="Z122" s="39">
        <v>0</v>
      </c>
      <c r="AA122" s="39">
        <v>0</v>
      </c>
      <c r="AB122" s="39">
        <v>0</v>
      </c>
      <c r="AC122" s="39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23">
        <v>0</v>
      </c>
      <c r="AK122" s="39">
        <v>0</v>
      </c>
      <c r="AL122" s="39">
        <v>0</v>
      </c>
      <c r="AM122" s="39">
        <v>0</v>
      </c>
      <c r="AN122" s="39">
        <v>0</v>
      </c>
      <c r="AO122" s="4">
        <v>0</v>
      </c>
      <c r="AP122" s="23">
        <v>0</v>
      </c>
      <c r="AQ122" s="4">
        <v>0</v>
      </c>
      <c r="AR122" s="4">
        <v>0</v>
      </c>
      <c r="AS122" s="4">
        <v>0</v>
      </c>
      <c r="AT122" s="4">
        <v>0</v>
      </c>
      <c r="AU122" s="4">
        <v>0</v>
      </c>
      <c r="AV122" s="23">
        <v>0</v>
      </c>
      <c r="AW122" s="4">
        <v>0</v>
      </c>
      <c r="AX122" s="4">
        <v>0</v>
      </c>
      <c r="AY122" s="4">
        <v>0</v>
      </c>
      <c r="AZ122" s="4">
        <v>0</v>
      </c>
      <c r="BA122" s="4">
        <v>0</v>
      </c>
      <c r="BB122" s="23">
        <v>0</v>
      </c>
      <c r="BC122" s="4">
        <v>0</v>
      </c>
      <c r="BD122" s="4">
        <v>0</v>
      </c>
      <c r="BE122" s="4">
        <v>0</v>
      </c>
      <c r="BF122" s="4">
        <v>0</v>
      </c>
      <c r="BG122" s="4">
        <v>0</v>
      </c>
      <c r="BH122" s="4">
        <v>0</v>
      </c>
      <c r="BI122" s="23">
        <v>0</v>
      </c>
      <c r="BJ122" s="35">
        <v>0</v>
      </c>
      <c r="BK122" s="4">
        <v>0</v>
      </c>
      <c r="BL122" s="35">
        <v>0</v>
      </c>
      <c r="BM122" s="4">
        <v>0</v>
      </c>
      <c r="BN122" s="4">
        <v>0</v>
      </c>
      <c r="BO122" s="4">
        <v>0</v>
      </c>
      <c r="BP122" s="4">
        <v>0</v>
      </c>
      <c r="BQ122" s="35">
        <v>0</v>
      </c>
      <c r="BR122" s="4">
        <v>0</v>
      </c>
      <c r="BS122" s="35">
        <v>0</v>
      </c>
      <c r="BT122" s="4">
        <v>0</v>
      </c>
      <c r="BU122" s="4">
        <v>0</v>
      </c>
      <c r="BV122" s="4">
        <v>0</v>
      </c>
      <c r="BW122" s="4">
        <v>0</v>
      </c>
      <c r="BX122" s="4">
        <v>0</v>
      </c>
      <c r="BY122" s="4">
        <v>0</v>
      </c>
      <c r="BZ122" s="4">
        <v>0</v>
      </c>
      <c r="CA122" s="4">
        <v>0</v>
      </c>
      <c r="CB122" s="4">
        <v>0</v>
      </c>
      <c r="CC122" s="4">
        <v>0</v>
      </c>
      <c r="CD122" s="4">
        <v>0</v>
      </c>
      <c r="CE122" s="4">
        <v>0</v>
      </c>
      <c r="CF122" s="4">
        <v>0</v>
      </c>
      <c r="CG122" s="4">
        <v>0</v>
      </c>
      <c r="CH122" s="4">
        <v>0</v>
      </c>
      <c r="CI122" s="4">
        <v>0</v>
      </c>
      <c r="CJ122" s="35">
        <v>0</v>
      </c>
      <c r="CK122" s="4">
        <v>0</v>
      </c>
      <c r="CL122" s="35">
        <v>0</v>
      </c>
      <c r="CM122" s="4">
        <v>0</v>
      </c>
      <c r="CN122" s="4">
        <v>0</v>
      </c>
      <c r="CO122" s="4">
        <v>0</v>
      </c>
      <c r="CP122" s="4">
        <v>0</v>
      </c>
      <c r="CQ122" s="4">
        <v>0</v>
      </c>
      <c r="CR122" s="4">
        <v>0</v>
      </c>
      <c r="CS122" s="4">
        <v>0</v>
      </c>
    </row>
    <row r="123" spans="1:97" x14ac:dyDescent="0.25">
      <c r="A123" t="s">
        <v>139</v>
      </c>
      <c r="C123" s="23">
        <v>0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  <c r="L123" s="23">
        <v>0</v>
      </c>
      <c r="M123" s="4">
        <v>0</v>
      </c>
      <c r="N123" s="4">
        <v>0</v>
      </c>
      <c r="O123" s="23">
        <v>0</v>
      </c>
      <c r="P123" s="4">
        <v>0</v>
      </c>
      <c r="Q123" s="4">
        <v>-33049.333174500003</v>
      </c>
      <c r="R123" s="4">
        <v>-33049.333174500003</v>
      </c>
      <c r="S123" s="4">
        <v>-33049.333174500003</v>
      </c>
      <c r="T123" s="23">
        <v>-33049.333174500003</v>
      </c>
      <c r="U123" s="39">
        <v>-33049.333174500003</v>
      </c>
      <c r="V123" s="39">
        <v>-33049.333174500003</v>
      </c>
      <c r="W123" s="39">
        <v>-33049.333174500003</v>
      </c>
      <c r="X123" s="39">
        <v>-33049.333174500003</v>
      </c>
      <c r="Y123" s="23">
        <v>-33049.333174500003</v>
      </c>
      <c r="Z123" s="39">
        <v>-33049.333174500003</v>
      </c>
      <c r="AA123" s="39">
        <v>-33049.333174500003</v>
      </c>
      <c r="AB123" s="39">
        <v>-33049.333174500003</v>
      </c>
      <c r="AC123" s="39">
        <v>-33049.333174500003</v>
      </c>
      <c r="AD123" s="4">
        <v>-33049.333174500003</v>
      </c>
      <c r="AE123" s="4">
        <v>-33049.333174500003</v>
      </c>
      <c r="AF123" s="4">
        <v>-6865954.8818375301</v>
      </c>
      <c r="AG123" s="4">
        <v>-6865954.8818375301</v>
      </c>
      <c r="AH123" s="4">
        <v>-6865954.8818375301</v>
      </c>
      <c r="AI123" s="4">
        <v>-6865954.8818375301</v>
      </c>
      <c r="AJ123" s="23">
        <v>-6865954.8818375301</v>
      </c>
      <c r="AK123" s="39">
        <v>-6865954.8818375301</v>
      </c>
      <c r="AL123" s="39">
        <v>-6865954.8818375301</v>
      </c>
      <c r="AM123" s="39">
        <v>-6865954.8818375301</v>
      </c>
      <c r="AN123" s="39">
        <v>-6865954.8818375301</v>
      </c>
      <c r="AO123" s="4">
        <v>-6865954.8818375301</v>
      </c>
      <c r="AP123" s="23">
        <v>-6865954.8818375301</v>
      </c>
      <c r="AQ123" s="4">
        <v>-6865954.8818375301</v>
      </c>
      <c r="AR123" s="4">
        <v>-6865954.8818375301</v>
      </c>
      <c r="AS123" s="4">
        <v>-6865954.8818375301</v>
      </c>
      <c r="AT123" s="4">
        <v>-6865954.8818375301</v>
      </c>
      <c r="AU123" s="4">
        <v>-6865954.8818375301</v>
      </c>
      <c r="AV123" s="23">
        <v>-6865954.8818375301</v>
      </c>
      <c r="AW123" s="4">
        <v>-6865954.8818375301</v>
      </c>
      <c r="AX123" s="4">
        <v>-6865954.8818375301</v>
      </c>
      <c r="AY123" s="4">
        <v>-6865954.8818375301</v>
      </c>
      <c r="AZ123" s="4">
        <v>-6865954.8818375301</v>
      </c>
      <c r="BA123" s="4">
        <v>-6865954.8818375301</v>
      </c>
      <c r="BB123" s="23">
        <v>-6865954.8818375301</v>
      </c>
      <c r="BC123" s="4">
        <v>-6865954.8818375301</v>
      </c>
      <c r="BD123" s="4">
        <v>-6865954.8818375301</v>
      </c>
      <c r="BE123" s="4">
        <v>-6865954.8818375301</v>
      </c>
      <c r="BF123" s="4">
        <v>-6865954.8818375301</v>
      </c>
      <c r="BG123" s="4">
        <v>0</v>
      </c>
      <c r="BH123" s="4">
        <v>0</v>
      </c>
      <c r="BI123" s="23">
        <v>0</v>
      </c>
      <c r="BJ123" s="35">
        <v>0</v>
      </c>
      <c r="BK123" s="4">
        <v>0</v>
      </c>
      <c r="BL123" s="35">
        <v>0</v>
      </c>
      <c r="BM123" s="4">
        <v>0</v>
      </c>
      <c r="BN123" s="4">
        <v>0</v>
      </c>
      <c r="BO123" s="4">
        <v>0</v>
      </c>
      <c r="BP123" s="4">
        <v>0</v>
      </c>
      <c r="BQ123" s="35">
        <v>0</v>
      </c>
      <c r="BR123" s="4">
        <v>0</v>
      </c>
      <c r="BS123" s="35">
        <v>0</v>
      </c>
      <c r="BT123" s="4">
        <v>0</v>
      </c>
      <c r="BU123" s="4">
        <v>0</v>
      </c>
      <c r="BV123" s="4">
        <v>0</v>
      </c>
      <c r="BW123" s="4">
        <v>0</v>
      </c>
      <c r="BX123" s="4">
        <v>0</v>
      </c>
      <c r="BY123" s="4">
        <v>0</v>
      </c>
      <c r="BZ123" s="4">
        <v>0</v>
      </c>
      <c r="CA123" s="4">
        <v>0</v>
      </c>
      <c r="CB123" s="4">
        <v>0</v>
      </c>
      <c r="CC123" s="4">
        <v>0</v>
      </c>
      <c r="CD123" s="4">
        <v>0</v>
      </c>
      <c r="CE123" s="4">
        <v>0</v>
      </c>
      <c r="CF123" s="4">
        <v>0</v>
      </c>
      <c r="CG123" s="4">
        <v>0</v>
      </c>
      <c r="CH123" s="4">
        <v>0</v>
      </c>
      <c r="CI123" s="4">
        <v>0</v>
      </c>
      <c r="CJ123" s="35">
        <v>0</v>
      </c>
      <c r="CK123" s="4">
        <v>0</v>
      </c>
      <c r="CL123" s="35">
        <v>0</v>
      </c>
      <c r="CM123" s="4">
        <v>0</v>
      </c>
      <c r="CN123" s="4">
        <v>0</v>
      </c>
      <c r="CO123" s="4">
        <v>0</v>
      </c>
      <c r="CP123" s="4">
        <v>0</v>
      </c>
      <c r="CQ123" s="4">
        <v>0</v>
      </c>
      <c r="CR123" s="4">
        <v>0</v>
      </c>
      <c r="CS123" s="4">
        <v>0</v>
      </c>
    </row>
    <row r="124" spans="1:97" x14ac:dyDescent="0.25">
      <c r="A124" t="s">
        <v>140</v>
      </c>
      <c r="C124" s="23">
        <v>-5293184.55</v>
      </c>
      <c r="D124" s="4">
        <v>-5293184.55</v>
      </c>
      <c r="E124" s="4">
        <v>-5293184.55</v>
      </c>
      <c r="F124" s="4">
        <v>-5293184.55</v>
      </c>
      <c r="G124" s="4">
        <v>-5293184.55</v>
      </c>
      <c r="H124" s="4">
        <v>-5293184.55</v>
      </c>
      <c r="I124" s="4">
        <v>-5293184.55</v>
      </c>
      <c r="J124" s="4">
        <v>-5293184.55</v>
      </c>
      <c r="K124" s="4">
        <v>-5293184.55</v>
      </c>
      <c r="L124" s="23">
        <v>-5293184.55</v>
      </c>
      <c r="M124" s="4">
        <v>-5293184.55</v>
      </c>
      <c r="N124" s="4">
        <v>-5293184.55</v>
      </c>
      <c r="O124" s="23">
        <v>-5293184.55</v>
      </c>
      <c r="P124" s="4">
        <v>-5293184.55</v>
      </c>
      <c r="Q124" s="4">
        <v>-17813715</v>
      </c>
      <c r="R124" s="4">
        <v>-17813715</v>
      </c>
      <c r="S124" s="4">
        <v>-17813715</v>
      </c>
      <c r="T124" s="23">
        <v>-17813715</v>
      </c>
      <c r="U124" s="39">
        <v>-17813715</v>
      </c>
      <c r="V124" s="39">
        <v>-17813715</v>
      </c>
      <c r="W124" s="39">
        <v>-17813715</v>
      </c>
      <c r="X124" s="39">
        <v>-17813715</v>
      </c>
      <c r="Y124" s="23">
        <v>-17813715</v>
      </c>
      <c r="Z124" s="39">
        <v>-17813715</v>
      </c>
      <c r="AA124" s="39">
        <v>-17813715</v>
      </c>
      <c r="AB124" s="39">
        <v>-17813715</v>
      </c>
      <c r="AC124" s="39">
        <v>-17813715</v>
      </c>
      <c r="AD124" s="4">
        <v>-17813715</v>
      </c>
      <c r="AE124" s="4">
        <v>-17813715</v>
      </c>
      <c r="AF124" s="4">
        <v>-3909728.0538499998</v>
      </c>
      <c r="AG124" s="4">
        <v>-3909728.0538499998</v>
      </c>
      <c r="AH124" s="4">
        <v>-3909728.0538499998</v>
      </c>
      <c r="AI124" s="4">
        <v>-3909728.0538499998</v>
      </c>
      <c r="AJ124" s="23">
        <v>-3909728.0538499998</v>
      </c>
      <c r="AK124" s="39">
        <v>-3909728.0538499998</v>
      </c>
      <c r="AL124" s="39">
        <v>-3909728.0538499998</v>
      </c>
      <c r="AM124" s="39">
        <v>-3909728.0538499998</v>
      </c>
      <c r="AN124" s="39">
        <v>-3909728.0538499998</v>
      </c>
      <c r="AO124" s="4">
        <v>-3909728.0538499998</v>
      </c>
      <c r="AP124" s="23">
        <v>-3909728.0538499998</v>
      </c>
      <c r="AQ124" s="4">
        <v>-3909728.0538499998</v>
      </c>
      <c r="AR124" s="4">
        <v>-3909728.0538499998</v>
      </c>
      <c r="AS124" s="4">
        <v>-3909728.0538499998</v>
      </c>
      <c r="AT124" s="4">
        <v>-3909728.0538499998</v>
      </c>
      <c r="AU124" s="4">
        <v>-3909728.0538499998</v>
      </c>
      <c r="AV124" s="23">
        <v>-3909728.0538499998</v>
      </c>
      <c r="AW124" s="4">
        <v>-3909728.0538499998</v>
      </c>
      <c r="AX124" s="4">
        <v>-3909728.0538499998</v>
      </c>
      <c r="AY124" s="4">
        <v>-3909728.0538499998</v>
      </c>
      <c r="AZ124" s="4">
        <v>-3909728.0538499998</v>
      </c>
      <c r="BA124" s="4">
        <v>-3909728.0538499998</v>
      </c>
      <c r="BB124" s="23">
        <v>-3909728.0538499998</v>
      </c>
      <c r="BC124" s="4">
        <v>-3909728.0538499998</v>
      </c>
      <c r="BD124" s="4">
        <v>-3909728.0538499998</v>
      </c>
      <c r="BE124" s="4">
        <v>-3909728.0538499998</v>
      </c>
      <c r="BF124" s="4">
        <v>-3909728.0538499998</v>
      </c>
      <c r="BG124" s="4">
        <v>0</v>
      </c>
      <c r="BH124" s="4">
        <v>0</v>
      </c>
      <c r="BI124" s="23">
        <v>0</v>
      </c>
      <c r="BJ124" s="35">
        <v>0</v>
      </c>
      <c r="BK124" s="4">
        <v>0</v>
      </c>
      <c r="BL124" s="35">
        <v>0</v>
      </c>
      <c r="BM124" s="4">
        <v>0</v>
      </c>
      <c r="BN124" s="4">
        <v>0</v>
      </c>
      <c r="BO124" s="4">
        <v>0</v>
      </c>
      <c r="BP124" s="4">
        <v>0</v>
      </c>
      <c r="BQ124" s="35">
        <v>0</v>
      </c>
      <c r="BR124" s="4">
        <v>0</v>
      </c>
      <c r="BS124" s="35">
        <v>0</v>
      </c>
      <c r="BT124" s="4">
        <v>0</v>
      </c>
      <c r="BU124" s="4">
        <v>0</v>
      </c>
      <c r="BV124" s="4">
        <v>0</v>
      </c>
      <c r="BW124" s="4">
        <v>0</v>
      </c>
      <c r="BX124" s="4">
        <v>0</v>
      </c>
      <c r="BY124" s="4">
        <v>0</v>
      </c>
      <c r="BZ124" s="4">
        <v>0</v>
      </c>
      <c r="CA124" s="4">
        <v>0</v>
      </c>
      <c r="CB124" s="4">
        <v>0</v>
      </c>
      <c r="CC124" s="4">
        <v>0</v>
      </c>
      <c r="CD124" s="4">
        <v>0</v>
      </c>
      <c r="CE124" s="4">
        <v>0</v>
      </c>
      <c r="CF124" s="4">
        <v>0</v>
      </c>
      <c r="CG124" s="4">
        <v>0</v>
      </c>
      <c r="CH124" s="4">
        <v>0</v>
      </c>
      <c r="CI124" s="4">
        <v>0</v>
      </c>
      <c r="CJ124" s="35">
        <v>0</v>
      </c>
      <c r="CK124" s="4">
        <v>0</v>
      </c>
      <c r="CL124" s="35">
        <v>0</v>
      </c>
      <c r="CM124" s="4">
        <v>0</v>
      </c>
      <c r="CN124" s="4">
        <v>0</v>
      </c>
      <c r="CO124" s="4">
        <v>0</v>
      </c>
      <c r="CP124" s="4">
        <v>0</v>
      </c>
      <c r="CQ124" s="4">
        <v>0</v>
      </c>
      <c r="CR124" s="4">
        <v>0</v>
      </c>
      <c r="CS124" s="4">
        <v>0</v>
      </c>
    </row>
    <row r="125" spans="1:97" x14ac:dyDescent="0.25">
      <c r="A125" s="6" t="s">
        <v>141</v>
      </c>
      <c r="C125" s="23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  <c r="J125" s="4">
        <v>0</v>
      </c>
      <c r="K125" s="4">
        <v>0</v>
      </c>
      <c r="L125" s="23">
        <v>0</v>
      </c>
      <c r="M125" s="4">
        <v>0</v>
      </c>
      <c r="N125" s="4">
        <v>0</v>
      </c>
      <c r="O125" s="23">
        <v>0</v>
      </c>
      <c r="P125" s="4">
        <v>0</v>
      </c>
      <c r="Q125" s="4">
        <v>0</v>
      </c>
      <c r="R125" s="4">
        <v>0</v>
      </c>
      <c r="S125" s="4">
        <v>0</v>
      </c>
      <c r="T125" s="23">
        <v>0</v>
      </c>
      <c r="U125" s="39">
        <v>0</v>
      </c>
      <c r="V125" s="39">
        <v>0</v>
      </c>
      <c r="W125" s="39">
        <v>0</v>
      </c>
      <c r="X125" s="39">
        <v>0</v>
      </c>
      <c r="Y125" s="23">
        <v>0</v>
      </c>
      <c r="Z125" s="39">
        <v>0</v>
      </c>
      <c r="AA125" s="39">
        <v>0</v>
      </c>
      <c r="AB125" s="39">
        <v>0</v>
      </c>
      <c r="AC125" s="39">
        <v>0</v>
      </c>
      <c r="AD125" s="4">
        <v>0</v>
      </c>
      <c r="AE125" s="4">
        <v>0</v>
      </c>
      <c r="AF125" s="4">
        <v>-50000000</v>
      </c>
      <c r="AG125" s="4">
        <v>-50000000</v>
      </c>
      <c r="AH125" s="4">
        <v>-50000000</v>
      </c>
      <c r="AI125" s="4">
        <v>-50000000</v>
      </c>
      <c r="AJ125" s="23">
        <v>-50000000</v>
      </c>
      <c r="AK125" s="39">
        <v>-50000000</v>
      </c>
      <c r="AL125" s="39">
        <v>-50000000</v>
      </c>
      <c r="AM125" s="39">
        <v>-50000000</v>
      </c>
      <c r="AN125" s="39">
        <v>-50000000</v>
      </c>
      <c r="AO125" s="4">
        <v>-50000000</v>
      </c>
      <c r="AP125" s="23">
        <v>-50000000</v>
      </c>
      <c r="AQ125" s="4">
        <v>-50000000</v>
      </c>
      <c r="AR125" s="4">
        <v>-50000000</v>
      </c>
      <c r="AS125" s="4">
        <v>-50000000</v>
      </c>
      <c r="AT125" s="4">
        <v>-50000000</v>
      </c>
      <c r="AU125" s="4">
        <v>-50000000</v>
      </c>
      <c r="AV125" s="23">
        <v>-50000000</v>
      </c>
      <c r="AW125" s="4">
        <v>-50000000</v>
      </c>
      <c r="AX125" s="4">
        <v>-50000000</v>
      </c>
      <c r="AY125" s="4">
        <v>-50000000</v>
      </c>
      <c r="AZ125" s="4">
        <v>-50000000</v>
      </c>
      <c r="BA125" s="4">
        <v>-50000000</v>
      </c>
      <c r="BB125" s="23">
        <v>-50000000</v>
      </c>
      <c r="BC125" s="4">
        <v>-50000000</v>
      </c>
      <c r="BD125" s="4">
        <v>-50000000</v>
      </c>
      <c r="BE125" s="4">
        <v>-50000000</v>
      </c>
      <c r="BF125" s="4">
        <v>-50000000</v>
      </c>
      <c r="BG125" s="4">
        <v>0</v>
      </c>
      <c r="BH125" s="4">
        <v>0</v>
      </c>
      <c r="BI125" s="23">
        <v>0</v>
      </c>
      <c r="BJ125" s="35">
        <v>0</v>
      </c>
      <c r="BK125" s="4">
        <v>0</v>
      </c>
      <c r="BL125" s="35">
        <v>0</v>
      </c>
      <c r="BM125" s="4">
        <v>0</v>
      </c>
      <c r="BN125" s="4">
        <v>0</v>
      </c>
      <c r="BO125" s="4">
        <v>0</v>
      </c>
      <c r="BP125" s="4">
        <v>0</v>
      </c>
      <c r="BQ125" s="35">
        <v>0</v>
      </c>
      <c r="BR125" s="4">
        <v>0</v>
      </c>
      <c r="BS125" s="35">
        <v>0</v>
      </c>
      <c r="BT125" s="4">
        <v>0</v>
      </c>
      <c r="BU125" s="4">
        <v>0</v>
      </c>
      <c r="BV125" s="4">
        <v>0</v>
      </c>
      <c r="BW125" s="4">
        <v>0</v>
      </c>
      <c r="BX125" s="4">
        <v>0</v>
      </c>
      <c r="BY125" s="4">
        <v>0</v>
      </c>
      <c r="BZ125" s="4">
        <v>0</v>
      </c>
      <c r="CA125" s="4">
        <v>0</v>
      </c>
      <c r="CB125" s="4">
        <v>0</v>
      </c>
      <c r="CC125" s="4">
        <v>0</v>
      </c>
      <c r="CD125" s="4">
        <v>0</v>
      </c>
      <c r="CE125" s="4">
        <v>0</v>
      </c>
      <c r="CF125" s="4">
        <v>0</v>
      </c>
      <c r="CG125" s="4">
        <v>0</v>
      </c>
      <c r="CH125" s="4">
        <v>0</v>
      </c>
      <c r="CI125" s="4">
        <v>0</v>
      </c>
      <c r="CJ125" s="35">
        <v>0</v>
      </c>
      <c r="CK125" s="4">
        <v>0</v>
      </c>
      <c r="CL125" s="35">
        <v>0</v>
      </c>
      <c r="CM125" s="4">
        <v>0</v>
      </c>
      <c r="CN125" s="4">
        <v>0</v>
      </c>
      <c r="CO125" s="4">
        <v>0</v>
      </c>
      <c r="CP125" s="4">
        <v>0</v>
      </c>
      <c r="CQ125" s="4">
        <v>0</v>
      </c>
      <c r="CR125" s="4">
        <v>0</v>
      </c>
      <c r="CS125" s="4">
        <v>0</v>
      </c>
    </row>
    <row r="126" spans="1:97" x14ac:dyDescent="0.25">
      <c r="A126" t="s">
        <v>98</v>
      </c>
      <c r="C126" s="23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  <c r="L126" s="23">
        <v>0</v>
      </c>
      <c r="M126" s="4">
        <v>0</v>
      </c>
      <c r="N126" s="4">
        <v>0</v>
      </c>
      <c r="O126" s="23">
        <v>0</v>
      </c>
      <c r="P126" s="4">
        <v>0</v>
      </c>
      <c r="Q126" s="4">
        <v>0</v>
      </c>
      <c r="R126" s="4">
        <v>0</v>
      </c>
      <c r="S126" s="4">
        <v>0</v>
      </c>
      <c r="T126" s="23">
        <v>0</v>
      </c>
      <c r="U126" s="39">
        <v>0</v>
      </c>
      <c r="V126" s="39">
        <v>0</v>
      </c>
      <c r="W126" s="39">
        <v>0</v>
      </c>
      <c r="X126" s="39">
        <v>0</v>
      </c>
      <c r="Y126" s="23">
        <v>0</v>
      </c>
      <c r="Z126" s="39">
        <v>0</v>
      </c>
      <c r="AA126" s="39">
        <v>0</v>
      </c>
      <c r="AB126" s="39">
        <v>0</v>
      </c>
      <c r="AC126" s="39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23">
        <v>0</v>
      </c>
      <c r="AK126" s="39">
        <v>0</v>
      </c>
      <c r="AL126" s="39">
        <v>0</v>
      </c>
      <c r="AM126" s="39">
        <v>0</v>
      </c>
      <c r="AN126" s="39">
        <v>0</v>
      </c>
      <c r="AO126" s="4">
        <v>0</v>
      </c>
      <c r="AP126" s="23">
        <v>0</v>
      </c>
      <c r="AQ126" s="4">
        <v>0</v>
      </c>
      <c r="AR126" s="4">
        <v>0</v>
      </c>
      <c r="AS126" s="4">
        <v>0</v>
      </c>
      <c r="AT126" s="4">
        <v>0</v>
      </c>
      <c r="AU126" s="4">
        <v>0</v>
      </c>
      <c r="AV126" s="23">
        <v>0</v>
      </c>
      <c r="AW126" s="4">
        <v>0</v>
      </c>
      <c r="AX126" s="4">
        <v>0</v>
      </c>
      <c r="AY126" s="4">
        <v>0</v>
      </c>
      <c r="AZ126" s="4">
        <v>0</v>
      </c>
      <c r="BA126" s="4">
        <v>0</v>
      </c>
      <c r="BB126" s="23">
        <v>0</v>
      </c>
      <c r="BC126" s="4">
        <v>0</v>
      </c>
      <c r="BD126" s="4">
        <v>0</v>
      </c>
      <c r="BE126" s="4">
        <v>0</v>
      </c>
      <c r="BF126" s="4">
        <v>0</v>
      </c>
      <c r="BG126" s="4">
        <v>0</v>
      </c>
      <c r="BH126" s="4">
        <v>0</v>
      </c>
      <c r="BI126" s="23">
        <v>0</v>
      </c>
      <c r="BJ126" s="35">
        <v>0</v>
      </c>
      <c r="BK126" s="4">
        <v>0</v>
      </c>
      <c r="BL126" s="35">
        <v>0</v>
      </c>
      <c r="BM126" s="4">
        <v>0</v>
      </c>
      <c r="BN126" s="4">
        <v>0</v>
      </c>
      <c r="BO126" s="4">
        <v>0</v>
      </c>
      <c r="BP126" s="4">
        <v>0</v>
      </c>
      <c r="BQ126" s="35">
        <v>0</v>
      </c>
      <c r="BR126" s="4">
        <v>0</v>
      </c>
      <c r="BS126" s="35">
        <v>0</v>
      </c>
      <c r="BT126" s="4">
        <v>0</v>
      </c>
      <c r="BU126" s="4">
        <v>0</v>
      </c>
      <c r="BV126" s="4">
        <v>0</v>
      </c>
      <c r="BW126" s="4">
        <v>0</v>
      </c>
      <c r="BX126" s="4">
        <v>0</v>
      </c>
      <c r="BY126" s="4">
        <v>0</v>
      </c>
      <c r="BZ126" s="4">
        <v>0</v>
      </c>
      <c r="CA126" s="4">
        <v>0</v>
      </c>
      <c r="CB126" s="4">
        <v>0</v>
      </c>
      <c r="CC126" s="4">
        <v>0</v>
      </c>
      <c r="CD126" s="4">
        <v>0</v>
      </c>
      <c r="CE126" s="4">
        <v>0</v>
      </c>
      <c r="CF126" s="4">
        <v>0</v>
      </c>
      <c r="CG126" s="4">
        <v>0</v>
      </c>
      <c r="CH126" s="4">
        <v>0</v>
      </c>
      <c r="CI126" s="4">
        <v>0</v>
      </c>
      <c r="CJ126" s="35">
        <v>0</v>
      </c>
      <c r="CK126" s="4">
        <v>0</v>
      </c>
      <c r="CL126" s="35">
        <v>0</v>
      </c>
      <c r="CM126" s="4">
        <v>0</v>
      </c>
      <c r="CN126" s="4">
        <v>0</v>
      </c>
      <c r="CO126" s="4">
        <v>0</v>
      </c>
      <c r="CP126" s="4">
        <v>0</v>
      </c>
      <c r="CQ126" s="4">
        <v>0</v>
      </c>
      <c r="CR126" s="4">
        <v>0</v>
      </c>
      <c r="CS126" s="4">
        <v>0</v>
      </c>
    </row>
    <row r="127" spans="1:97" x14ac:dyDescent="0.25">
      <c r="A127" t="s">
        <v>99</v>
      </c>
      <c r="C127" s="23">
        <v>-1102808.0299999996</v>
      </c>
      <c r="D127" s="4">
        <v>-1102808.0299999996</v>
      </c>
      <c r="E127" s="4">
        <v>-1102808.0299999996</v>
      </c>
      <c r="F127" s="4">
        <v>-1102808.0299999996</v>
      </c>
      <c r="G127" s="4">
        <v>-1102808.0299999996</v>
      </c>
      <c r="H127" s="4">
        <v>-1102808.0299999996</v>
      </c>
      <c r="I127" s="4">
        <v>-1102808.0299999996</v>
      </c>
      <c r="J127" s="4">
        <v>-1102808.0299999996</v>
      </c>
      <c r="K127" s="4">
        <v>-1102808.0299999996</v>
      </c>
      <c r="L127" s="23">
        <v>-1102808.0299999996</v>
      </c>
      <c r="M127" s="4">
        <v>-1102808.0299999996</v>
      </c>
      <c r="N127" s="4">
        <v>-1102808.0299999996</v>
      </c>
      <c r="O127" s="23">
        <v>-1102808.0299999996</v>
      </c>
      <c r="P127" s="4">
        <v>-1102808.0299999996</v>
      </c>
      <c r="Q127" s="4">
        <v>-9085959.4499999993</v>
      </c>
      <c r="R127" s="4">
        <v>-9085959.4499999993</v>
      </c>
      <c r="S127" s="4">
        <v>-9085959.4499999993</v>
      </c>
      <c r="T127" s="23">
        <v>-9085959.4499999993</v>
      </c>
      <c r="U127" s="39">
        <v>-9085959.4499999993</v>
      </c>
      <c r="V127" s="39">
        <v>-9085959.4499999993</v>
      </c>
      <c r="W127" s="39">
        <v>-9085959.4499999993</v>
      </c>
      <c r="X127" s="39">
        <v>-9085959.4499999993</v>
      </c>
      <c r="Y127" s="23">
        <v>-9085959.4499999993</v>
      </c>
      <c r="Z127" s="39">
        <v>-9085959.4499999993</v>
      </c>
      <c r="AA127" s="39">
        <v>-9085959.4499999993</v>
      </c>
      <c r="AB127" s="39">
        <v>-9085959.4499999993</v>
      </c>
      <c r="AC127" s="39">
        <v>-9085959.4499999993</v>
      </c>
      <c r="AD127" s="43">
        <v>-9085959.4499999993</v>
      </c>
      <c r="AE127" s="4">
        <v>-9085959.4499999993</v>
      </c>
      <c r="AF127" s="4">
        <v>-5802228.4299999997</v>
      </c>
      <c r="AG127" s="4">
        <v>-5802228.4299999997</v>
      </c>
      <c r="AH127" s="4">
        <v>-5802228.4299999997</v>
      </c>
      <c r="AI127" s="4">
        <v>-5802228.4299999997</v>
      </c>
      <c r="AJ127" s="23">
        <v>-5802228.4299999997</v>
      </c>
      <c r="AK127" s="39">
        <v>-5802228.4299999997</v>
      </c>
      <c r="AL127" s="39">
        <v>-5802228.4299999997</v>
      </c>
      <c r="AM127" s="39">
        <v>-5802228.4299999997</v>
      </c>
      <c r="AN127" s="39">
        <v>-5802228.4299999997</v>
      </c>
      <c r="AO127" s="4">
        <v>-5802228.4299999997</v>
      </c>
      <c r="AP127" s="23">
        <v>-5802228.4299999997</v>
      </c>
      <c r="AQ127" s="4">
        <v>-5802228.4299999997</v>
      </c>
      <c r="AR127" s="4">
        <v>-5802228.4299999997</v>
      </c>
      <c r="AS127" s="4">
        <v>-5802228.4299999997</v>
      </c>
      <c r="AT127" s="4">
        <v>-5802228.4299999997</v>
      </c>
      <c r="AU127" s="4">
        <v>-5802228.4299999997</v>
      </c>
      <c r="AV127" s="23">
        <v>-5802228.4299999997</v>
      </c>
      <c r="AW127" s="4">
        <v>-5802228.4299999997</v>
      </c>
      <c r="AX127" s="4">
        <v>-5802228.4299999997</v>
      </c>
      <c r="AY127" s="4">
        <v>-5802228.4299999997</v>
      </c>
      <c r="AZ127" s="4">
        <v>-5802228.4299999997</v>
      </c>
      <c r="BA127" s="4">
        <v>-5802228.4299999997</v>
      </c>
      <c r="BB127" s="23">
        <v>-5802228.4299999997</v>
      </c>
      <c r="BC127" s="4">
        <v>-5802228.4299999997</v>
      </c>
      <c r="BD127" s="4">
        <v>-5802228.4299999997</v>
      </c>
      <c r="BE127" s="4">
        <v>-5802228.4299999997</v>
      </c>
      <c r="BF127" s="43">
        <v>-5802228.4299999997</v>
      </c>
      <c r="BG127" s="4">
        <v>0</v>
      </c>
      <c r="BH127" s="4">
        <v>0</v>
      </c>
      <c r="BI127" s="23">
        <v>0</v>
      </c>
      <c r="BJ127" s="35">
        <v>0</v>
      </c>
      <c r="BK127" s="4">
        <v>0</v>
      </c>
      <c r="BL127" s="35">
        <v>0</v>
      </c>
      <c r="BM127" s="4">
        <v>0</v>
      </c>
      <c r="BN127" s="4">
        <v>0</v>
      </c>
      <c r="BO127" s="4">
        <v>0</v>
      </c>
      <c r="BP127" s="4">
        <v>0</v>
      </c>
      <c r="BQ127" s="35">
        <v>0</v>
      </c>
      <c r="BR127" s="4">
        <v>0</v>
      </c>
      <c r="BS127" s="35">
        <v>0</v>
      </c>
      <c r="BT127" s="4">
        <v>0</v>
      </c>
      <c r="BU127" s="4">
        <v>0</v>
      </c>
      <c r="BV127" s="4">
        <v>0</v>
      </c>
      <c r="BW127" s="4">
        <v>0</v>
      </c>
      <c r="BX127" s="4">
        <v>0</v>
      </c>
      <c r="BY127" s="4">
        <v>0</v>
      </c>
      <c r="BZ127" s="4">
        <v>0</v>
      </c>
      <c r="CA127" s="4">
        <v>0</v>
      </c>
      <c r="CB127" s="4">
        <v>0</v>
      </c>
      <c r="CC127" s="4">
        <v>0</v>
      </c>
      <c r="CD127" s="4">
        <v>0</v>
      </c>
      <c r="CE127" s="4">
        <v>0</v>
      </c>
      <c r="CF127" s="4">
        <v>0</v>
      </c>
      <c r="CG127" s="4">
        <v>0</v>
      </c>
      <c r="CH127" s="4">
        <v>0</v>
      </c>
      <c r="CI127" s="4">
        <v>0</v>
      </c>
      <c r="CJ127" s="35">
        <v>0</v>
      </c>
      <c r="CK127" s="4">
        <v>0</v>
      </c>
      <c r="CL127" s="35">
        <v>0</v>
      </c>
      <c r="CM127" s="4">
        <v>0</v>
      </c>
      <c r="CN127" s="4">
        <v>0</v>
      </c>
      <c r="CO127" s="4">
        <v>0</v>
      </c>
      <c r="CP127" s="4">
        <v>0</v>
      </c>
      <c r="CQ127" s="4">
        <v>0</v>
      </c>
      <c r="CR127" s="4">
        <v>0</v>
      </c>
      <c r="CS127" s="4">
        <v>0</v>
      </c>
    </row>
    <row r="128" spans="1:97" x14ac:dyDescent="0.25">
      <c r="A128" s="5" t="s">
        <v>100</v>
      </c>
      <c r="C128" s="23">
        <v>-32278048.257387511</v>
      </c>
      <c r="D128" s="4">
        <v>-32278048.257387511</v>
      </c>
      <c r="E128" s="4">
        <v>-32278048.257387511</v>
      </c>
      <c r="F128" s="4">
        <v>-32278048.257387511</v>
      </c>
      <c r="G128" s="4">
        <v>-32278048.257387511</v>
      </c>
      <c r="H128" s="4">
        <v>-32278048.257387511</v>
      </c>
      <c r="I128" s="4">
        <v>-32278048.257387511</v>
      </c>
      <c r="J128" s="4">
        <v>-32278048.257387511</v>
      </c>
      <c r="K128" s="4">
        <v>-32278048.257387511</v>
      </c>
      <c r="L128" s="23">
        <v>-32278048.257387511</v>
      </c>
      <c r="M128" s="4">
        <v>-32278048.257387511</v>
      </c>
      <c r="N128" s="4">
        <v>-32278048.257387511</v>
      </c>
      <c r="O128" s="23">
        <v>-32278048.257387511</v>
      </c>
      <c r="P128" s="4">
        <v>-32278048.257387511</v>
      </c>
      <c r="Q128" s="4">
        <v>-8706732.1264496949</v>
      </c>
      <c r="R128" s="4">
        <v>-8706732.1264496949</v>
      </c>
      <c r="S128" s="4">
        <v>-8706732.1264496949</v>
      </c>
      <c r="T128" s="23">
        <v>-8706732.1264496949</v>
      </c>
      <c r="U128" s="39">
        <v>-8706732.1264496949</v>
      </c>
      <c r="V128" s="39">
        <v>-8706732.1264496949</v>
      </c>
      <c r="W128" s="39">
        <v>-8706732.1264496949</v>
      </c>
      <c r="X128" s="39">
        <v>-8706732.1264496949</v>
      </c>
      <c r="Y128" s="23">
        <v>-8706732.1264496949</v>
      </c>
      <c r="Z128" s="39">
        <v>-8706732.1264496949</v>
      </c>
      <c r="AA128" s="39">
        <v>-8706732.1264496949</v>
      </c>
      <c r="AB128" s="39">
        <v>-8706732.1264496949</v>
      </c>
      <c r="AC128" s="39">
        <v>-8706732.1264496949</v>
      </c>
      <c r="AD128" s="43">
        <v>-8706732.1264496949</v>
      </c>
      <c r="AE128" s="4">
        <v>-8706732.1264496949</v>
      </c>
      <c r="AF128" s="4">
        <v>-37618466.660962068</v>
      </c>
      <c r="AG128" s="4">
        <v>-37618466.660962068</v>
      </c>
      <c r="AH128" s="4">
        <v>-37618466.660962068</v>
      </c>
      <c r="AI128" s="4">
        <v>-37618466.660962068</v>
      </c>
      <c r="AJ128" s="23">
        <v>-37618466.660962068</v>
      </c>
      <c r="AK128" s="39">
        <v>-37618466.660962068</v>
      </c>
      <c r="AL128" s="39">
        <v>-37618466.660962068</v>
      </c>
      <c r="AM128" s="39">
        <v>-37618466.660962068</v>
      </c>
      <c r="AN128" s="39">
        <v>-37618466.660962068</v>
      </c>
      <c r="AO128" s="4">
        <v>-37618466.660962068</v>
      </c>
      <c r="AP128" s="23">
        <v>-37618466.660962068</v>
      </c>
      <c r="AQ128" s="4">
        <v>-37618466.660962068</v>
      </c>
      <c r="AR128" s="4">
        <v>-37618466.660962068</v>
      </c>
      <c r="AS128" s="4">
        <v>-37618466.660962068</v>
      </c>
      <c r="AT128" s="4">
        <v>-37618466.660962068</v>
      </c>
      <c r="AU128" s="4">
        <v>-37618466.660962068</v>
      </c>
      <c r="AV128" s="23">
        <v>-37618466.660962068</v>
      </c>
      <c r="AW128" s="4">
        <v>-37618466.660962068</v>
      </c>
      <c r="AX128" s="4">
        <v>-37618466.660962068</v>
      </c>
      <c r="AY128" s="4">
        <v>-37618466.660962068</v>
      </c>
      <c r="AZ128" s="4">
        <v>-37618466.660962068</v>
      </c>
      <c r="BA128" s="4">
        <v>-37618466.660962068</v>
      </c>
      <c r="BB128" s="23">
        <v>-37618466.660962068</v>
      </c>
      <c r="BC128" s="4">
        <v>-37618466.660962068</v>
      </c>
      <c r="BD128" s="4">
        <v>-37618466.660962068</v>
      </c>
      <c r="BE128" s="4">
        <v>-37618466.660962068</v>
      </c>
      <c r="BF128" s="43">
        <v>-37618466.660962068</v>
      </c>
      <c r="BG128" s="4">
        <v>-343542.87254482508</v>
      </c>
      <c r="BH128" s="4">
        <v>-343542.87254482508</v>
      </c>
      <c r="BI128" s="23">
        <v>-343542.87254482508</v>
      </c>
      <c r="BJ128" s="35">
        <v>-343542.87254482508</v>
      </c>
      <c r="BK128" s="4">
        <v>-343542.87254482508</v>
      </c>
      <c r="BL128" s="35">
        <v>-343542.87254482508</v>
      </c>
      <c r="BM128" s="4">
        <v>-343542.87254482508</v>
      </c>
      <c r="BN128" s="4">
        <v>-343542.87254482508</v>
      </c>
      <c r="BO128" s="4">
        <v>-343542.87254482508</v>
      </c>
      <c r="BP128" s="4">
        <v>-343542.87254482508</v>
      </c>
      <c r="BQ128" s="35">
        <v>-343542.87254482508</v>
      </c>
      <c r="BR128" s="4">
        <v>-343542.87254482508</v>
      </c>
      <c r="BS128" s="35">
        <v>-343542.87254482508</v>
      </c>
      <c r="BT128" s="4">
        <v>-343542.87254482508</v>
      </c>
      <c r="BU128" s="4">
        <v>-343542.87254482508</v>
      </c>
      <c r="BV128" s="4">
        <v>-343542.87254482508</v>
      </c>
      <c r="BW128" s="4">
        <v>-343542.87254482508</v>
      </c>
      <c r="BX128" s="4">
        <v>-343542.87254482508</v>
      </c>
      <c r="BY128" s="4">
        <v>-343542.87254482508</v>
      </c>
      <c r="BZ128" s="4">
        <v>-343542.87254482508</v>
      </c>
      <c r="CA128" s="4">
        <v>-343542.87254482508</v>
      </c>
      <c r="CB128" s="4">
        <v>-343542.87254482508</v>
      </c>
      <c r="CC128" s="4">
        <v>-343542.87254482508</v>
      </c>
      <c r="CD128" s="4">
        <v>-343542.87254482508</v>
      </c>
      <c r="CE128" s="4">
        <v>-343542.87254482508</v>
      </c>
      <c r="CF128" s="4">
        <v>-343542.87254482508</v>
      </c>
      <c r="CG128" s="4">
        <v>-343542.87254482508</v>
      </c>
      <c r="CH128" s="4">
        <v>-343542.87254482508</v>
      </c>
      <c r="CI128" s="4">
        <v>-343542.87254482508</v>
      </c>
      <c r="CJ128" s="35">
        <v>-343542.87254482508</v>
      </c>
      <c r="CK128" s="4">
        <v>-343542.87254482508</v>
      </c>
      <c r="CL128" s="35">
        <v>-343542.87254482508</v>
      </c>
      <c r="CM128" s="4">
        <v>-343542.87254482508</v>
      </c>
      <c r="CN128" s="4">
        <v>-343542.87254482508</v>
      </c>
      <c r="CO128" s="4">
        <v>-343542.87254482508</v>
      </c>
      <c r="CP128" s="4">
        <v>-343542.87254482508</v>
      </c>
      <c r="CQ128" s="4">
        <v>-343542.87254482508</v>
      </c>
      <c r="CR128" s="4">
        <v>-343542.87254482508</v>
      </c>
      <c r="CS128" s="4">
        <v>-343542.87254482508</v>
      </c>
    </row>
    <row r="129" spans="1:97" x14ac:dyDescent="0.25">
      <c r="A129" t="s">
        <v>142</v>
      </c>
      <c r="B129" s="2"/>
      <c r="C129" s="23">
        <v>-41895902.06166666</v>
      </c>
      <c r="D129" s="4">
        <v>-41895902.06166666</v>
      </c>
      <c r="E129" s="4">
        <v>-41895902.06166666</v>
      </c>
      <c r="F129" s="4">
        <v>-41895902.06166666</v>
      </c>
      <c r="G129" s="4">
        <v>-41895902.06166666</v>
      </c>
      <c r="H129" s="4">
        <v>-41895902.06166666</v>
      </c>
      <c r="I129" s="4">
        <v>-41895902.06166666</v>
      </c>
      <c r="J129" s="4">
        <v>-41895902.06166666</v>
      </c>
      <c r="K129" s="4">
        <v>-41895902.06166666</v>
      </c>
      <c r="L129" s="23">
        <v>-41895902.06166666</v>
      </c>
      <c r="M129" s="4">
        <v>-41895902.06166666</v>
      </c>
      <c r="N129" s="4">
        <v>-41895902.06166666</v>
      </c>
      <c r="O129" s="23">
        <v>-41895902.06166666</v>
      </c>
      <c r="P129" s="4">
        <v>-41895902.06166666</v>
      </c>
      <c r="Q129" s="4">
        <v>0</v>
      </c>
      <c r="R129" s="4">
        <v>0</v>
      </c>
      <c r="S129" s="4">
        <v>0</v>
      </c>
      <c r="T129" s="23">
        <v>0</v>
      </c>
      <c r="U129" s="39">
        <v>0</v>
      </c>
      <c r="V129" s="39">
        <v>0</v>
      </c>
      <c r="W129" s="39">
        <v>0</v>
      </c>
      <c r="X129" s="39">
        <v>0</v>
      </c>
      <c r="Y129" s="23">
        <v>0</v>
      </c>
      <c r="Z129" s="39">
        <v>0</v>
      </c>
      <c r="AA129" s="39">
        <v>0</v>
      </c>
      <c r="AB129" s="39">
        <v>0</v>
      </c>
      <c r="AC129" s="39">
        <v>0</v>
      </c>
      <c r="AD129" s="4">
        <v>0</v>
      </c>
      <c r="AE129" s="4">
        <v>0</v>
      </c>
      <c r="AF129" s="4">
        <v>-25972216.251666665</v>
      </c>
      <c r="AG129" s="4">
        <v>-25972216.251666665</v>
      </c>
      <c r="AH129" s="4">
        <v>-25972216.251666665</v>
      </c>
      <c r="AI129" s="4">
        <v>-25972216.251666665</v>
      </c>
      <c r="AJ129" s="23">
        <v>-25972216.251666665</v>
      </c>
      <c r="AK129" s="39">
        <v>-25972216.251666665</v>
      </c>
      <c r="AL129" s="39">
        <v>-25972216.251666665</v>
      </c>
      <c r="AM129" s="39">
        <v>-25972216.251666665</v>
      </c>
      <c r="AN129" s="39">
        <v>-25972216.251666665</v>
      </c>
      <c r="AO129" s="4">
        <v>-25972216.251666665</v>
      </c>
      <c r="AP129" s="23">
        <v>-25972216.251666665</v>
      </c>
      <c r="AQ129" s="4">
        <v>-25972216.251666665</v>
      </c>
      <c r="AR129" s="4">
        <v>-25972216.251666665</v>
      </c>
      <c r="AS129" s="4">
        <v>-25972216.251666665</v>
      </c>
      <c r="AT129" s="4">
        <v>-25972216.251666665</v>
      </c>
      <c r="AU129" s="4">
        <v>-25972216.251666665</v>
      </c>
      <c r="AV129" s="23">
        <v>-25972216.251666665</v>
      </c>
      <c r="AW129" s="4">
        <v>-25972216.251666665</v>
      </c>
      <c r="AX129" s="4">
        <v>-25972216.251666665</v>
      </c>
      <c r="AY129" s="4">
        <v>-25972216.251666665</v>
      </c>
      <c r="AZ129" s="4">
        <v>-25972216.251666665</v>
      </c>
      <c r="BA129" s="4">
        <v>-25972216.251666665</v>
      </c>
      <c r="BB129" s="23">
        <v>-25972216.251666665</v>
      </c>
      <c r="BC129" s="4">
        <v>-25972216.251666665</v>
      </c>
      <c r="BD129" s="4">
        <v>-25972216.251666665</v>
      </c>
      <c r="BE129" s="4">
        <v>-25972216.251666665</v>
      </c>
      <c r="BF129" s="4">
        <v>-25972216.251666665</v>
      </c>
      <c r="BG129" s="4">
        <v>0</v>
      </c>
      <c r="BH129" s="4">
        <v>0</v>
      </c>
      <c r="BI129" s="23">
        <v>0</v>
      </c>
      <c r="BJ129" s="35">
        <v>0</v>
      </c>
      <c r="BK129" s="4">
        <v>0</v>
      </c>
      <c r="BL129" s="35">
        <v>0</v>
      </c>
      <c r="BM129" s="4">
        <v>0</v>
      </c>
      <c r="BN129" s="4">
        <v>0</v>
      </c>
      <c r="BO129" s="4">
        <v>0</v>
      </c>
      <c r="BP129" s="4">
        <v>0</v>
      </c>
      <c r="BQ129" s="35">
        <v>0</v>
      </c>
      <c r="BR129" s="4">
        <v>0</v>
      </c>
      <c r="BS129" s="35">
        <v>0</v>
      </c>
      <c r="BT129" s="4">
        <v>0</v>
      </c>
      <c r="BU129" s="4">
        <v>0</v>
      </c>
      <c r="BV129" s="4">
        <v>0</v>
      </c>
      <c r="BW129" s="4">
        <v>0</v>
      </c>
      <c r="BX129" s="4">
        <v>0</v>
      </c>
      <c r="BY129" s="4">
        <v>0</v>
      </c>
      <c r="BZ129" s="4">
        <v>0</v>
      </c>
      <c r="CA129" s="4">
        <v>0</v>
      </c>
      <c r="CB129" s="4">
        <v>0</v>
      </c>
      <c r="CC129" s="4">
        <v>0</v>
      </c>
      <c r="CD129" s="4">
        <v>0</v>
      </c>
      <c r="CE129" s="4">
        <v>0</v>
      </c>
      <c r="CF129" s="4">
        <v>0</v>
      </c>
      <c r="CG129" s="4">
        <v>0</v>
      </c>
      <c r="CH129" s="4">
        <v>0</v>
      </c>
      <c r="CI129" s="4">
        <v>0</v>
      </c>
      <c r="CJ129" s="35">
        <v>0</v>
      </c>
      <c r="CK129" s="4">
        <v>0</v>
      </c>
      <c r="CL129" s="35">
        <v>0</v>
      </c>
      <c r="CM129" s="4">
        <v>0</v>
      </c>
      <c r="CN129" s="4">
        <v>0</v>
      </c>
      <c r="CO129" s="4">
        <v>0</v>
      </c>
      <c r="CP129" s="4">
        <v>0</v>
      </c>
      <c r="CQ129" s="4">
        <v>0</v>
      </c>
      <c r="CR129" s="4">
        <v>0</v>
      </c>
      <c r="CS129" s="4">
        <v>0</v>
      </c>
    </row>
    <row r="130" spans="1:97" x14ac:dyDescent="0.25">
      <c r="A130" t="s">
        <v>143</v>
      </c>
      <c r="C130" s="23">
        <v>-9448.6733333333341</v>
      </c>
      <c r="D130" s="4">
        <v>-9448.6733333333341</v>
      </c>
      <c r="E130" s="4">
        <v>-9448.6733333333341</v>
      </c>
      <c r="F130" s="4">
        <v>-9448.6733333333341</v>
      </c>
      <c r="G130" s="4">
        <v>-9448.6733333333341</v>
      </c>
      <c r="H130" s="4">
        <v>-9448.6733333333341</v>
      </c>
      <c r="I130" s="4">
        <v>-9448.6733333333341</v>
      </c>
      <c r="J130" s="4">
        <v>-9448.6733333333341</v>
      </c>
      <c r="K130" s="4">
        <v>-9448.6733333333341</v>
      </c>
      <c r="L130" s="23">
        <v>-9448.6733333333341</v>
      </c>
      <c r="M130" s="4">
        <v>-9448.6733333333341</v>
      </c>
      <c r="N130" s="4">
        <v>-9448.6733333333341</v>
      </c>
      <c r="O130" s="23">
        <v>-9448.6733333333341</v>
      </c>
      <c r="P130" s="4">
        <v>-9448.6733333333341</v>
      </c>
      <c r="Q130" s="4">
        <v>-1062851.6166666667</v>
      </c>
      <c r="R130" s="4">
        <v>-1062851.6166666667</v>
      </c>
      <c r="S130" s="4">
        <v>-1062851.6166666667</v>
      </c>
      <c r="T130" s="23">
        <v>-1062851.6166666667</v>
      </c>
      <c r="U130" s="39">
        <v>-1062851.6166666667</v>
      </c>
      <c r="V130" s="39">
        <v>-1062851.6166666667</v>
      </c>
      <c r="W130" s="39">
        <v>-1062851.6166666667</v>
      </c>
      <c r="X130" s="39">
        <v>-1062851.6166666667</v>
      </c>
      <c r="Y130" s="23">
        <v>-1062851.6166666667</v>
      </c>
      <c r="Z130" s="39">
        <v>-1062851.6166666667</v>
      </c>
      <c r="AA130" s="39">
        <v>-1062851.6166666667</v>
      </c>
      <c r="AB130" s="39">
        <v>-1062851.6166666667</v>
      </c>
      <c r="AC130" s="39">
        <v>-1062851.6166666667</v>
      </c>
      <c r="AD130" s="4">
        <v>-1062851.6166666667</v>
      </c>
      <c r="AE130" s="4">
        <v>-1062851.6166666667</v>
      </c>
      <c r="AF130" s="4">
        <v>0</v>
      </c>
      <c r="AG130" s="4">
        <v>0</v>
      </c>
      <c r="AH130" s="4">
        <v>0</v>
      </c>
      <c r="AI130" s="4">
        <v>0</v>
      </c>
      <c r="AJ130" s="23">
        <v>0</v>
      </c>
      <c r="AK130" s="39">
        <v>0</v>
      </c>
      <c r="AL130" s="39">
        <v>0</v>
      </c>
      <c r="AM130" s="39">
        <v>0</v>
      </c>
      <c r="AN130" s="39">
        <v>0</v>
      </c>
      <c r="AO130" s="4">
        <v>0</v>
      </c>
      <c r="AP130" s="23">
        <v>0</v>
      </c>
      <c r="AQ130" s="4">
        <v>0</v>
      </c>
      <c r="AR130" s="4">
        <v>0</v>
      </c>
      <c r="AS130" s="4">
        <v>0</v>
      </c>
      <c r="AT130" s="4">
        <v>0</v>
      </c>
      <c r="AU130" s="4">
        <v>0</v>
      </c>
      <c r="AV130" s="23">
        <v>0</v>
      </c>
      <c r="AW130" s="4">
        <v>0</v>
      </c>
      <c r="AX130" s="4">
        <v>0</v>
      </c>
      <c r="AY130" s="4">
        <v>0</v>
      </c>
      <c r="AZ130" s="4">
        <v>0</v>
      </c>
      <c r="BA130" s="4">
        <v>0</v>
      </c>
      <c r="BB130" s="23">
        <v>0</v>
      </c>
      <c r="BC130" s="4">
        <v>0</v>
      </c>
      <c r="BD130" s="4">
        <v>0</v>
      </c>
      <c r="BE130" s="4">
        <v>0</v>
      </c>
      <c r="BF130" s="4">
        <v>0</v>
      </c>
      <c r="BG130" s="4">
        <v>0</v>
      </c>
      <c r="BH130" s="4">
        <v>0</v>
      </c>
      <c r="BI130" s="23">
        <v>0</v>
      </c>
      <c r="BJ130" s="35">
        <v>0</v>
      </c>
      <c r="BK130" s="4">
        <v>0</v>
      </c>
      <c r="BL130" s="35">
        <v>0</v>
      </c>
      <c r="BM130" s="4">
        <v>0</v>
      </c>
      <c r="BN130" s="4">
        <v>0</v>
      </c>
      <c r="BO130" s="4">
        <v>0</v>
      </c>
      <c r="BP130" s="4">
        <v>0</v>
      </c>
      <c r="BQ130" s="35">
        <v>0</v>
      </c>
      <c r="BR130" s="4">
        <v>0</v>
      </c>
      <c r="BS130" s="35">
        <v>0</v>
      </c>
      <c r="BT130" s="4">
        <v>0</v>
      </c>
      <c r="BU130" s="4">
        <v>0</v>
      </c>
      <c r="BV130" s="4">
        <v>0</v>
      </c>
      <c r="BW130" s="4">
        <v>0</v>
      </c>
      <c r="BX130" s="4">
        <v>0</v>
      </c>
      <c r="BY130" s="4">
        <v>0</v>
      </c>
      <c r="BZ130" s="4">
        <v>0</v>
      </c>
      <c r="CA130" s="4">
        <v>0</v>
      </c>
      <c r="CB130" s="4">
        <v>0</v>
      </c>
      <c r="CC130" s="4">
        <v>0</v>
      </c>
      <c r="CD130" s="4">
        <v>0</v>
      </c>
      <c r="CE130" s="4">
        <v>0</v>
      </c>
      <c r="CF130" s="4">
        <v>0</v>
      </c>
      <c r="CG130" s="4">
        <v>0</v>
      </c>
      <c r="CH130" s="4">
        <v>0</v>
      </c>
      <c r="CI130" s="4">
        <v>0</v>
      </c>
      <c r="CJ130" s="35">
        <v>0</v>
      </c>
      <c r="CK130" s="4">
        <v>0</v>
      </c>
      <c r="CL130" s="35">
        <v>0</v>
      </c>
      <c r="CM130" s="4">
        <v>0</v>
      </c>
      <c r="CN130" s="4">
        <v>0</v>
      </c>
      <c r="CO130" s="4">
        <v>0</v>
      </c>
      <c r="CP130" s="4">
        <v>0</v>
      </c>
      <c r="CQ130" s="4">
        <v>0</v>
      </c>
      <c r="CR130" s="4">
        <v>0</v>
      </c>
      <c r="CS130" s="4">
        <v>0</v>
      </c>
    </row>
    <row r="131" spans="1:97" x14ac:dyDescent="0.25">
      <c r="A131" t="s">
        <v>144</v>
      </c>
      <c r="C131" s="23">
        <v>-75000000</v>
      </c>
      <c r="D131" s="4">
        <v>-75000000</v>
      </c>
      <c r="E131" s="4">
        <v>-75000000</v>
      </c>
      <c r="F131" s="4">
        <v>-75000000</v>
      </c>
      <c r="G131" s="4">
        <v>-75000000</v>
      </c>
      <c r="H131" s="4">
        <v>-75000000</v>
      </c>
      <c r="I131" s="4">
        <v>-75000000</v>
      </c>
      <c r="J131" s="4">
        <v>-75000000</v>
      </c>
      <c r="K131" s="4">
        <v>-75000000</v>
      </c>
      <c r="L131" s="23">
        <v>-75000000</v>
      </c>
      <c r="M131" s="4">
        <v>-75000000</v>
      </c>
      <c r="N131" s="4">
        <v>-75000000</v>
      </c>
      <c r="O131" s="23">
        <v>-75000000</v>
      </c>
      <c r="P131" s="4">
        <v>-75000000</v>
      </c>
      <c r="Q131" s="4">
        <v>0</v>
      </c>
      <c r="R131" s="4">
        <v>0</v>
      </c>
      <c r="S131" s="4">
        <v>0</v>
      </c>
      <c r="T131" s="23">
        <v>0</v>
      </c>
      <c r="U131" s="39">
        <v>0</v>
      </c>
      <c r="V131" s="39">
        <v>0</v>
      </c>
      <c r="W131" s="39">
        <v>0</v>
      </c>
      <c r="X131" s="39">
        <v>0</v>
      </c>
      <c r="Y131" s="23">
        <v>0</v>
      </c>
      <c r="Z131" s="39">
        <v>0</v>
      </c>
      <c r="AA131" s="39">
        <v>0</v>
      </c>
      <c r="AB131" s="39">
        <v>0</v>
      </c>
      <c r="AC131" s="39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23">
        <v>0</v>
      </c>
      <c r="AK131" s="39">
        <v>0</v>
      </c>
      <c r="AL131" s="39">
        <v>0</v>
      </c>
      <c r="AM131" s="39">
        <v>0</v>
      </c>
      <c r="AN131" s="39">
        <v>0</v>
      </c>
      <c r="AO131" s="4">
        <v>0</v>
      </c>
      <c r="AP131" s="23">
        <v>0</v>
      </c>
      <c r="AQ131" s="4">
        <v>0</v>
      </c>
      <c r="AR131" s="4">
        <v>0</v>
      </c>
      <c r="AS131" s="4">
        <v>0</v>
      </c>
      <c r="AT131" s="4">
        <v>0</v>
      </c>
      <c r="AU131" s="4">
        <v>0</v>
      </c>
      <c r="AV131" s="23">
        <v>0</v>
      </c>
      <c r="AW131" s="4">
        <v>0</v>
      </c>
      <c r="AX131" s="4">
        <v>0</v>
      </c>
      <c r="AY131" s="4">
        <v>0</v>
      </c>
      <c r="AZ131" s="4">
        <v>0</v>
      </c>
      <c r="BA131" s="4">
        <v>0</v>
      </c>
      <c r="BB131" s="23">
        <v>0</v>
      </c>
      <c r="BC131" s="4">
        <v>0</v>
      </c>
      <c r="BD131" s="4">
        <v>0</v>
      </c>
      <c r="BE131" s="4">
        <v>0</v>
      </c>
      <c r="BF131" s="4">
        <v>0</v>
      </c>
      <c r="BG131" s="4">
        <v>0</v>
      </c>
      <c r="BH131" s="4">
        <v>0</v>
      </c>
      <c r="BI131" s="23">
        <v>0</v>
      </c>
      <c r="BJ131" s="35">
        <v>0</v>
      </c>
      <c r="BK131" s="4">
        <v>0</v>
      </c>
      <c r="BL131" s="35">
        <v>0</v>
      </c>
      <c r="BM131" s="4">
        <v>0</v>
      </c>
      <c r="BN131" s="4">
        <v>0</v>
      </c>
      <c r="BO131" s="4">
        <v>0</v>
      </c>
      <c r="BP131" s="4">
        <v>0</v>
      </c>
      <c r="BQ131" s="35">
        <v>0</v>
      </c>
      <c r="BR131" s="4">
        <v>0</v>
      </c>
      <c r="BS131" s="35">
        <v>0</v>
      </c>
      <c r="BT131" s="4">
        <v>0</v>
      </c>
      <c r="BU131" s="4">
        <v>0</v>
      </c>
      <c r="BV131" s="4">
        <v>0</v>
      </c>
      <c r="BW131" s="4">
        <v>0</v>
      </c>
      <c r="BX131" s="4">
        <v>0</v>
      </c>
      <c r="BY131" s="4">
        <v>0</v>
      </c>
      <c r="BZ131" s="4">
        <v>0</v>
      </c>
      <c r="CA131" s="4">
        <v>0</v>
      </c>
      <c r="CB131" s="4">
        <v>0</v>
      </c>
      <c r="CC131" s="4">
        <v>0</v>
      </c>
      <c r="CD131" s="4">
        <v>0</v>
      </c>
      <c r="CE131" s="4">
        <v>0</v>
      </c>
      <c r="CF131" s="4">
        <v>0</v>
      </c>
      <c r="CG131" s="4">
        <v>0</v>
      </c>
      <c r="CH131" s="4">
        <v>0</v>
      </c>
      <c r="CI131" s="4">
        <v>0</v>
      </c>
      <c r="CJ131" s="35">
        <v>0</v>
      </c>
      <c r="CK131" s="4">
        <v>0</v>
      </c>
      <c r="CL131" s="35">
        <v>0</v>
      </c>
      <c r="CM131" s="4">
        <v>0</v>
      </c>
      <c r="CN131" s="4">
        <v>0</v>
      </c>
      <c r="CO131" s="4">
        <v>0</v>
      </c>
      <c r="CP131" s="4">
        <v>0</v>
      </c>
      <c r="CQ131" s="4">
        <v>0</v>
      </c>
      <c r="CR131" s="4">
        <v>0</v>
      </c>
      <c r="CS131" s="4">
        <v>0</v>
      </c>
    </row>
    <row r="132" spans="1:97" x14ac:dyDescent="0.25">
      <c r="A132" t="s">
        <v>145</v>
      </c>
      <c r="C132" s="23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  <c r="J132" s="4">
        <v>0</v>
      </c>
      <c r="K132" s="4">
        <v>0</v>
      </c>
      <c r="L132" s="23">
        <v>0</v>
      </c>
      <c r="M132" s="4">
        <v>0</v>
      </c>
      <c r="N132" s="4">
        <v>0</v>
      </c>
      <c r="O132" s="23">
        <v>0</v>
      </c>
      <c r="P132" s="4">
        <v>0</v>
      </c>
      <c r="Q132" s="4">
        <v>-67435708.391085327</v>
      </c>
      <c r="R132" s="4">
        <v>-67435708.391085327</v>
      </c>
      <c r="S132" s="4">
        <v>-67435708.391085327</v>
      </c>
      <c r="T132" s="23">
        <v>-67435708.391085327</v>
      </c>
      <c r="U132" s="39">
        <v>-67435708.391085327</v>
      </c>
      <c r="V132" s="39">
        <v>-67435708.391085327</v>
      </c>
      <c r="W132" s="39">
        <v>-67435708.391085327</v>
      </c>
      <c r="X132" s="39">
        <v>-67435708.391085327</v>
      </c>
      <c r="Y132" s="23">
        <v>-67435708.391085327</v>
      </c>
      <c r="Z132" s="39">
        <v>-67435708.391085327</v>
      </c>
      <c r="AA132" s="39">
        <v>-67435708.391085327</v>
      </c>
      <c r="AB132" s="39">
        <v>-67435708.391085327</v>
      </c>
      <c r="AC132" s="39">
        <v>-67435708.391085327</v>
      </c>
      <c r="AD132" s="4">
        <v>-67435708.391085327</v>
      </c>
      <c r="AE132" s="4">
        <v>-67435708.391085327</v>
      </c>
      <c r="AF132" s="4">
        <v>-157536.60381100001</v>
      </c>
      <c r="AG132" s="4">
        <v>-157536.60381100001</v>
      </c>
      <c r="AH132" s="4">
        <v>-157536.60381100001</v>
      </c>
      <c r="AI132" s="4">
        <v>-157536.60381100001</v>
      </c>
      <c r="AJ132" s="23">
        <v>-157536.60381100001</v>
      </c>
      <c r="AK132" s="39">
        <v>-157536.60381100001</v>
      </c>
      <c r="AL132" s="39">
        <v>-157536.60381100001</v>
      </c>
      <c r="AM132" s="39">
        <v>-157536.60381100001</v>
      </c>
      <c r="AN132" s="39">
        <v>-157536.60381100001</v>
      </c>
      <c r="AO132" s="4">
        <v>-157536.60381100001</v>
      </c>
      <c r="AP132" s="23">
        <v>-157536.60381100001</v>
      </c>
      <c r="AQ132" s="4">
        <v>-157536.60381100001</v>
      </c>
      <c r="AR132" s="4">
        <v>-157536.60381100001</v>
      </c>
      <c r="AS132" s="4">
        <v>-157536.60381100001</v>
      </c>
      <c r="AT132" s="4">
        <v>-157536.60381100001</v>
      </c>
      <c r="AU132" s="4">
        <v>-157536.60381100001</v>
      </c>
      <c r="AV132" s="23">
        <v>-157536.60381100001</v>
      </c>
      <c r="AW132" s="4">
        <v>-157536.60381100001</v>
      </c>
      <c r="AX132" s="4">
        <v>-157536.60381100001</v>
      </c>
      <c r="AY132" s="4">
        <v>-157536.60381100001</v>
      </c>
      <c r="AZ132" s="4">
        <v>-157536.60381100001</v>
      </c>
      <c r="BA132" s="4">
        <v>-157536.60381100001</v>
      </c>
      <c r="BB132" s="23">
        <v>-157536.60381100001</v>
      </c>
      <c r="BC132" s="4">
        <v>-157536.60381100001</v>
      </c>
      <c r="BD132" s="4">
        <v>-157536.60381100001</v>
      </c>
      <c r="BE132" s="4">
        <v>-157536.60381100001</v>
      </c>
      <c r="BF132" s="4">
        <v>-157536.60381100001</v>
      </c>
      <c r="BG132" s="4">
        <v>-69391454.087820739</v>
      </c>
      <c r="BH132" s="4">
        <v>-69391454.087820739</v>
      </c>
      <c r="BI132" s="23">
        <v>-69391454.087820739</v>
      </c>
      <c r="BJ132" s="35">
        <v>-69391454.087820739</v>
      </c>
      <c r="BK132" s="4">
        <v>-69391454.087820739</v>
      </c>
      <c r="BL132" s="35">
        <v>-69391454.087820739</v>
      </c>
      <c r="BM132" s="4">
        <v>-69391454.087820739</v>
      </c>
      <c r="BN132" s="4">
        <v>-69391454.087820739</v>
      </c>
      <c r="BO132" s="4">
        <v>-69391454.087820739</v>
      </c>
      <c r="BP132" s="4">
        <v>-69391454.087820739</v>
      </c>
      <c r="BQ132" s="35">
        <v>-69391454.087820739</v>
      </c>
      <c r="BR132" s="4">
        <v>-69391454.087820739</v>
      </c>
      <c r="BS132" s="35">
        <v>-69391454.087820739</v>
      </c>
      <c r="BT132" s="4">
        <v>-69391454.087820739</v>
      </c>
      <c r="BU132" s="4">
        <v>-69391454.087820739</v>
      </c>
      <c r="BV132" s="4">
        <v>-69391454.087820739</v>
      </c>
      <c r="BW132" s="4">
        <v>-69391454.087820739</v>
      </c>
      <c r="BX132" s="4">
        <v>-69391454.087820739</v>
      </c>
      <c r="BY132" s="4">
        <v>-69391454.087820739</v>
      </c>
      <c r="BZ132" s="4">
        <v>-69391454.087820739</v>
      </c>
      <c r="CA132" s="4">
        <v>-69391454.087820739</v>
      </c>
      <c r="CB132" s="4">
        <v>-69391454.087820739</v>
      </c>
      <c r="CC132" s="4">
        <v>-69391454.087820739</v>
      </c>
      <c r="CD132" s="4">
        <v>-69391454.087820739</v>
      </c>
      <c r="CE132" s="4">
        <v>-69391454.087820739</v>
      </c>
      <c r="CF132" s="4">
        <v>-69391454.087820739</v>
      </c>
      <c r="CG132" s="4">
        <v>-69391454.087820739</v>
      </c>
      <c r="CH132" s="4">
        <v>-69391454.087820739</v>
      </c>
      <c r="CI132" s="4">
        <v>-69391454.087820739</v>
      </c>
      <c r="CJ132" s="35">
        <v>-69391454.087820739</v>
      </c>
      <c r="CK132" s="4">
        <v>-69391454.087820739</v>
      </c>
      <c r="CL132" s="35">
        <v>-69391454.087820739</v>
      </c>
      <c r="CM132" s="4">
        <v>-69391454.087820739</v>
      </c>
      <c r="CN132" s="4">
        <v>-69391454.087820739</v>
      </c>
      <c r="CO132" s="4">
        <v>-69391454.087820739</v>
      </c>
      <c r="CP132" s="4">
        <v>-69391454.087820739</v>
      </c>
      <c r="CQ132" s="4">
        <v>-69391454.087820739</v>
      </c>
      <c r="CR132" s="4">
        <v>-69391454.087820739</v>
      </c>
      <c r="CS132" s="4">
        <v>-69391454.087820739</v>
      </c>
    </row>
    <row r="133" spans="1:97" x14ac:dyDescent="0.25">
      <c r="A133" t="s">
        <v>146</v>
      </c>
      <c r="C133" s="23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  <c r="L133" s="23">
        <v>0</v>
      </c>
      <c r="M133" s="4">
        <v>0</v>
      </c>
      <c r="N133" s="4">
        <v>0</v>
      </c>
      <c r="O133" s="23">
        <v>0</v>
      </c>
      <c r="P133" s="4">
        <v>0</v>
      </c>
      <c r="Q133" s="4">
        <v>0</v>
      </c>
      <c r="R133" s="4">
        <v>0</v>
      </c>
      <c r="S133" s="4">
        <v>0</v>
      </c>
      <c r="T133" s="23">
        <v>0</v>
      </c>
      <c r="U133" s="39">
        <v>0</v>
      </c>
      <c r="V133" s="39">
        <v>0</v>
      </c>
      <c r="W133" s="39">
        <v>0</v>
      </c>
      <c r="X133" s="39">
        <v>0</v>
      </c>
      <c r="Y133" s="23">
        <v>0</v>
      </c>
      <c r="Z133" s="39">
        <v>0</v>
      </c>
      <c r="AA133" s="39">
        <v>0</v>
      </c>
      <c r="AB133" s="39">
        <v>0</v>
      </c>
      <c r="AC133" s="39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23">
        <v>0</v>
      </c>
      <c r="AK133" s="39">
        <v>0</v>
      </c>
      <c r="AL133" s="39">
        <v>0</v>
      </c>
      <c r="AM133" s="39">
        <v>0</v>
      </c>
      <c r="AN133" s="39">
        <v>0</v>
      </c>
      <c r="AO133" s="4">
        <v>0</v>
      </c>
      <c r="AP133" s="23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23">
        <v>0</v>
      </c>
      <c r="AW133" s="4">
        <v>0</v>
      </c>
      <c r="AX133" s="4">
        <v>0</v>
      </c>
      <c r="AY133" s="4">
        <v>0</v>
      </c>
      <c r="AZ133" s="4">
        <v>0</v>
      </c>
      <c r="BA133" s="4">
        <v>0</v>
      </c>
      <c r="BB133" s="23">
        <v>0</v>
      </c>
      <c r="BC133" s="4">
        <v>0</v>
      </c>
      <c r="BD133" s="4">
        <v>0</v>
      </c>
      <c r="BE133" s="4">
        <v>0</v>
      </c>
      <c r="BF133" s="4">
        <v>0</v>
      </c>
      <c r="BG133" s="4">
        <v>-8833250.75</v>
      </c>
      <c r="BH133" s="4">
        <v>-8833250.75</v>
      </c>
      <c r="BI133" s="23">
        <v>-8833250.75</v>
      </c>
      <c r="BJ133" s="35">
        <v>-8833250.75</v>
      </c>
      <c r="BK133" s="4">
        <v>-8833250.75</v>
      </c>
      <c r="BL133" s="35">
        <v>-8833250.75</v>
      </c>
      <c r="BM133" s="4">
        <v>-8833250.75</v>
      </c>
      <c r="BN133" s="4">
        <v>-8833250.75</v>
      </c>
      <c r="BO133" s="4">
        <v>-8833250.75</v>
      </c>
      <c r="BP133" s="4">
        <v>-8833250.75</v>
      </c>
      <c r="BQ133" s="35">
        <v>-8833250.75</v>
      </c>
      <c r="BR133" s="4">
        <v>-8833250.75</v>
      </c>
      <c r="BS133" s="35">
        <v>-8833250.75</v>
      </c>
      <c r="BT133" s="4">
        <v>-8833250.75</v>
      </c>
      <c r="BU133" s="4">
        <v>-8833250.75</v>
      </c>
      <c r="BV133" s="4">
        <v>-8833250.75</v>
      </c>
      <c r="BW133" s="4">
        <v>-8833250.75</v>
      </c>
      <c r="BX133" s="4">
        <v>-8833250.75</v>
      </c>
      <c r="BY133" s="4">
        <v>-8833250.75</v>
      </c>
      <c r="BZ133" s="4">
        <v>-8833250.75</v>
      </c>
      <c r="CA133" s="4">
        <v>-8833250.75</v>
      </c>
      <c r="CB133" s="4">
        <v>-8833250.75</v>
      </c>
      <c r="CC133" s="4">
        <v>-8833250.75</v>
      </c>
      <c r="CD133" s="4">
        <v>-8833250.75</v>
      </c>
      <c r="CE133" s="4">
        <v>-8833250.75</v>
      </c>
      <c r="CF133" s="4">
        <v>-8833250.75</v>
      </c>
      <c r="CG133" s="4">
        <v>-8833250.75</v>
      </c>
      <c r="CH133" s="4">
        <v>-8833250.75</v>
      </c>
      <c r="CI133" s="4">
        <v>-8833250.75</v>
      </c>
      <c r="CJ133" s="35">
        <v>-8833250.75</v>
      </c>
      <c r="CK133" s="4">
        <v>-8833250.75</v>
      </c>
      <c r="CL133" s="35">
        <v>-8833250.75</v>
      </c>
      <c r="CM133" s="4">
        <v>-8833250.75</v>
      </c>
      <c r="CN133" s="4">
        <v>-8833250.75</v>
      </c>
      <c r="CO133" s="4">
        <v>-8833250.75</v>
      </c>
      <c r="CP133" s="4">
        <v>-8833250.75</v>
      </c>
      <c r="CQ133" s="4">
        <v>-8833250.75</v>
      </c>
      <c r="CR133" s="4">
        <v>-8833250.75</v>
      </c>
      <c r="CS133" s="4">
        <v>-8833250.75</v>
      </c>
    </row>
    <row r="134" spans="1:97" x14ac:dyDescent="0.25">
      <c r="A134" t="s">
        <v>147</v>
      </c>
      <c r="C134" s="23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  <c r="L134" s="23">
        <v>0</v>
      </c>
      <c r="M134" s="4">
        <v>0</v>
      </c>
      <c r="N134" s="4">
        <v>0</v>
      </c>
      <c r="O134" s="23">
        <v>0</v>
      </c>
      <c r="P134" s="4">
        <v>0</v>
      </c>
      <c r="Q134" s="4">
        <v>0</v>
      </c>
      <c r="R134" s="4">
        <v>0</v>
      </c>
      <c r="S134" s="4">
        <v>0</v>
      </c>
      <c r="T134" s="23">
        <v>0</v>
      </c>
      <c r="U134" s="39">
        <v>0</v>
      </c>
      <c r="V134" s="39">
        <v>0</v>
      </c>
      <c r="W134" s="39">
        <v>0</v>
      </c>
      <c r="X134" s="39">
        <v>0</v>
      </c>
      <c r="Y134" s="23">
        <v>0</v>
      </c>
      <c r="Z134" s="39">
        <v>0</v>
      </c>
      <c r="AA134" s="39">
        <v>0</v>
      </c>
      <c r="AB134" s="39">
        <v>0</v>
      </c>
      <c r="AC134" s="39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23">
        <v>0</v>
      </c>
      <c r="AK134" s="39">
        <v>0</v>
      </c>
      <c r="AL134" s="39">
        <v>0</v>
      </c>
      <c r="AM134" s="39">
        <v>0</v>
      </c>
      <c r="AN134" s="39">
        <v>0</v>
      </c>
      <c r="AO134" s="4">
        <v>0</v>
      </c>
      <c r="AP134" s="23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23">
        <v>0</v>
      </c>
      <c r="AW134" s="4">
        <v>0</v>
      </c>
      <c r="AX134" s="4">
        <v>0</v>
      </c>
      <c r="AY134" s="4">
        <v>0</v>
      </c>
      <c r="AZ134" s="4">
        <v>0</v>
      </c>
      <c r="BA134" s="4">
        <v>0</v>
      </c>
      <c r="BB134" s="23">
        <v>0</v>
      </c>
      <c r="BC134" s="4">
        <v>0</v>
      </c>
      <c r="BD134" s="4">
        <v>0</v>
      </c>
      <c r="BE134" s="4">
        <v>0</v>
      </c>
      <c r="BF134" s="4">
        <v>0</v>
      </c>
      <c r="BG134" s="4">
        <v>0</v>
      </c>
      <c r="BH134" s="4">
        <v>0</v>
      </c>
      <c r="BI134" s="23">
        <v>0</v>
      </c>
      <c r="BJ134" s="35">
        <v>0</v>
      </c>
      <c r="BK134" s="4">
        <v>0</v>
      </c>
      <c r="BL134" s="35">
        <v>0</v>
      </c>
      <c r="BM134" s="4">
        <v>0</v>
      </c>
      <c r="BN134" s="4">
        <v>0</v>
      </c>
      <c r="BO134" s="4">
        <v>0</v>
      </c>
      <c r="BP134" s="4">
        <v>0</v>
      </c>
      <c r="BQ134" s="35">
        <v>0</v>
      </c>
      <c r="BR134" s="4">
        <v>0</v>
      </c>
      <c r="BS134" s="35">
        <v>0</v>
      </c>
      <c r="BT134" s="4">
        <v>0</v>
      </c>
      <c r="BU134" s="4">
        <v>0</v>
      </c>
      <c r="BV134" s="4">
        <v>0</v>
      </c>
      <c r="BW134" s="4">
        <v>0</v>
      </c>
      <c r="BX134" s="4">
        <v>0</v>
      </c>
      <c r="BY134" s="4">
        <v>0</v>
      </c>
      <c r="BZ134" s="4">
        <v>0</v>
      </c>
      <c r="CA134" s="4">
        <v>0</v>
      </c>
      <c r="CB134" s="4">
        <v>0</v>
      </c>
      <c r="CC134" s="4">
        <v>0</v>
      </c>
      <c r="CD134" s="4">
        <v>0</v>
      </c>
      <c r="CE134" s="4">
        <v>0</v>
      </c>
      <c r="CF134" s="4">
        <v>0</v>
      </c>
      <c r="CG134" s="4">
        <v>0</v>
      </c>
      <c r="CH134" s="4">
        <v>0</v>
      </c>
      <c r="CI134" s="4">
        <v>0</v>
      </c>
      <c r="CJ134" s="35">
        <v>0</v>
      </c>
      <c r="CK134" s="4">
        <v>0</v>
      </c>
      <c r="CL134" s="35">
        <v>0</v>
      </c>
      <c r="CM134" s="4">
        <v>0</v>
      </c>
      <c r="CN134" s="4">
        <v>0</v>
      </c>
      <c r="CO134" s="4">
        <v>0</v>
      </c>
      <c r="CP134" s="4">
        <v>0</v>
      </c>
      <c r="CQ134" s="4">
        <v>0</v>
      </c>
      <c r="CR134" s="4">
        <v>0</v>
      </c>
      <c r="CS134" s="4">
        <v>0</v>
      </c>
    </row>
    <row r="135" spans="1:97" x14ac:dyDescent="0.25">
      <c r="A135" t="s">
        <v>106</v>
      </c>
      <c r="C135" s="23">
        <v>-1034590.1200000001</v>
      </c>
      <c r="D135" s="4">
        <v>-1034590.1200000001</v>
      </c>
      <c r="E135" s="4">
        <v>-1034590.1200000001</v>
      </c>
      <c r="F135" s="4">
        <v>-1034590.1200000001</v>
      </c>
      <c r="G135" s="4">
        <v>-1034590.1200000001</v>
      </c>
      <c r="H135" s="4">
        <v>-1034590.1200000001</v>
      </c>
      <c r="I135" s="4">
        <v>-1034590.1200000001</v>
      </c>
      <c r="J135" s="4">
        <v>-1034590.1200000001</v>
      </c>
      <c r="K135" s="4">
        <v>-1034590.1200000001</v>
      </c>
      <c r="L135" s="23">
        <v>-1034590.1200000001</v>
      </c>
      <c r="M135" s="4">
        <v>-1034590.1200000001</v>
      </c>
      <c r="N135" s="4">
        <v>-1034590.1200000001</v>
      </c>
      <c r="O135" s="23">
        <v>-1034590.1200000001</v>
      </c>
      <c r="P135" s="4">
        <v>-1034590.1200000001</v>
      </c>
      <c r="Q135" s="4">
        <v>0</v>
      </c>
      <c r="R135" s="4">
        <v>0</v>
      </c>
      <c r="S135" s="4">
        <v>0</v>
      </c>
      <c r="T135" s="23">
        <v>0</v>
      </c>
      <c r="U135" s="39">
        <v>0</v>
      </c>
      <c r="V135" s="39">
        <v>0</v>
      </c>
      <c r="W135" s="39">
        <v>0</v>
      </c>
      <c r="X135" s="39">
        <v>0</v>
      </c>
      <c r="Y135" s="23">
        <v>0</v>
      </c>
      <c r="Z135" s="39">
        <v>0</v>
      </c>
      <c r="AA135" s="39">
        <v>0</v>
      </c>
      <c r="AB135" s="39">
        <v>0</v>
      </c>
      <c r="AC135" s="39">
        <v>0</v>
      </c>
      <c r="AD135" s="4">
        <v>0</v>
      </c>
      <c r="AE135" s="4">
        <v>0</v>
      </c>
      <c r="AF135" s="4">
        <v>-1030054.38</v>
      </c>
      <c r="AG135" s="4">
        <v>-1030054.38</v>
      </c>
      <c r="AH135" s="4">
        <v>-1030054.38</v>
      </c>
      <c r="AI135" s="4">
        <v>-1030054.38</v>
      </c>
      <c r="AJ135" s="23">
        <v>-1030054.38</v>
      </c>
      <c r="AK135" s="39">
        <v>-1030054.38</v>
      </c>
      <c r="AL135" s="39">
        <v>-1030054.38</v>
      </c>
      <c r="AM135" s="39">
        <v>-1030054.38</v>
      </c>
      <c r="AN135" s="39">
        <v>-1030054.38</v>
      </c>
      <c r="AO135" s="4">
        <v>-1030054.38</v>
      </c>
      <c r="AP135" s="23">
        <v>-1030054.38</v>
      </c>
      <c r="AQ135" s="4">
        <v>-1030054.38</v>
      </c>
      <c r="AR135" s="4">
        <v>-1030054.38</v>
      </c>
      <c r="AS135" s="4">
        <v>-1030054.38</v>
      </c>
      <c r="AT135" s="4">
        <v>-1030054.38</v>
      </c>
      <c r="AU135" s="4">
        <v>-1030054.38</v>
      </c>
      <c r="AV135" s="23">
        <v>-1030054.38</v>
      </c>
      <c r="AW135" s="4">
        <v>-1030054.38</v>
      </c>
      <c r="AX135" s="4">
        <v>-1030054.38</v>
      </c>
      <c r="AY135" s="4">
        <v>-1030054.38</v>
      </c>
      <c r="AZ135" s="4">
        <v>-1030054.38</v>
      </c>
      <c r="BA135" s="4">
        <v>-1030054.38</v>
      </c>
      <c r="BB135" s="23">
        <v>-1030054.38</v>
      </c>
      <c r="BC135" s="4">
        <v>-1030054.38</v>
      </c>
      <c r="BD135" s="4">
        <v>-1030054.38</v>
      </c>
      <c r="BE135" s="4">
        <v>-1030054.38</v>
      </c>
      <c r="BF135" s="4">
        <v>-1030054.38</v>
      </c>
      <c r="BG135" s="4">
        <v>0</v>
      </c>
      <c r="BH135" s="4">
        <v>0</v>
      </c>
      <c r="BI135" s="23">
        <v>0</v>
      </c>
      <c r="BJ135" s="35">
        <v>0</v>
      </c>
      <c r="BK135" s="4">
        <v>0</v>
      </c>
      <c r="BL135" s="35">
        <v>0</v>
      </c>
      <c r="BM135" s="4">
        <v>0</v>
      </c>
      <c r="BN135" s="4">
        <v>0</v>
      </c>
      <c r="BO135" s="4">
        <v>0</v>
      </c>
      <c r="BP135" s="4">
        <v>0</v>
      </c>
      <c r="BQ135" s="35">
        <v>0</v>
      </c>
      <c r="BR135" s="4">
        <v>0</v>
      </c>
      <c r="BS135" s="35">
        <v>0</v>
      </c>
      <c r="BT135" s="4">
        <v>0</v>
      </c>
      <c r="BU135" s="4">
        <v>0</v>
      </c>
      <c r="BV135" s="4">
        <v>0</v>
      </c>
      <c r="BW135" s="4">
        <v>0</v>
      </c>
      <c r="BX135" s="4">
        <v>0</v>
      </c>
      <c r="BY135" s="4">
        <v>0</v>
      </c>
      <c r="BZ135" s="4">
        <v>0</v>
      </c>
      <c r="CA135" s="4">
        <v>0</v>
      </c>
      <c r="CB135" s="4">
        <v>0</v>
      </c>
      <c r="CC135" s="4">
        <v>0</v>
      </c>
      <c r="CD135" s="4">
        <v>0</v>
      </c>
      <c r="CE135" s="4">
        <v>0</v>
      </c>
      <c r="CF135" s="4">
        <v>0</v>
      </c>
      <c r="CG135" s="4">
        <v>0</v>
      </c>
      <c r="CH135" s="4">
        <v>0</v>
      </c>
      <c r="CI135" s="4">
        <v>0</v>
      </c>
      <c r="CJ135" s="35">
        <v>0</v>
      </c>
      <c r="CK135" s="4">
        <v>0</v>
      </c>
      <c r="CL135" s="35">
        <v>0</v>
      </c>
      <c r="CM135" s="4">
        <v>0</v>
      </c>
      <c r="CN135" s="4">
        <v>0</v>
      </c>
      <c r="CO135" s="4">
        <v>0</v>
      </c>
      <c r="CP135" s="4">
        <v>0</v>
      </c>
      <c r="CQ135" s="4">
        <v>0</v>
      </c>
      <c r="CR135" s="4">
        <v>0</v>
      </c>
      <c r="CS135" s="4">
        <v>0</v>
      </c>
    </row>
    <row r="136" spans="1:97" x14ac:dyDescent="0.25">
      <c r="A136" t="s">
        <v>107</v>
      </c>
      <c r="C136" s="23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  <c r="L136" s="23">
        <v>0</v>
      </c>
      <c r="M136" s="4">
        <v>0</v>
      </c>
      <c r="N136" s="4">
        <v>0</v>
      </c>
      <c r="O136" s="23">
        <v>0</v>
      </c>
      <c r="P136" s="4">
        <v>0</v>
      </c>
      <c r="Q136" s="4">
        <v>0</v>
      </c>
      <c r="R136" s="4">
        <v>0</v>
      </c>
      <c r="S136" s="4">
        <v>0</v>
      </c>
      <c r="T136" s="23">
        <v>0</v>
      </c>
      <c r="U136" s="39">
        <v>0</v>
      </c>
      <c r="V136" s="39">
        <v>0</v>
      </c>
      <c r="W136" s="39">
        <v>0</v>
      </c>
      <c r="X136" s="39">
        <v>0</v>
      </c>
      <c r="Y136" s="23">
        <v>0</v>
      </c>
      <c r="Z136" s="39">
        <v>0</v>
      </c>
      <c r="AA136" s="39">
        <v>0</v>
      </c>
      <c r="AB136" s="39">
        <v>0</v>
      </c>
      <c r="AC136" s="39">
        <v>0</v>
      </c>
      <c r="AD136" s="43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23">
        <v>0</v>
      </c>
      <c r="AK136" s="39">
        <v>0</v>
      </c>
      <c r="AL136" s="39">
        <v>0</v>
      </c>
      <c r="AM136" s="39">
        <v>0</v>
      </c>
      <c r="AN136" s="39">
        <v>0</v>
      </c>
      <c r="AO136" s="4">
        <v>0</v>
      </c>
      <c r="AP136" s="23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23">
        <v>0</v>
      </c>
      <c r="AW136" s="4">
        <v>0</v>
      </c>
      <c r="AX136" s="4">
        <v>0</v>
      </c>
      <c r="AY136" s="4">
        <v>0</v>
      </c>
      <c r="AZ136" s="4">
        <v>0</v>
      </c>
      <c r="BA136" s="4">
        <v>0</v>
      </c>
      <c r="BB136" s="23">
        <v>0</v>
      </c>
      <c r="BC136" s="4">
        <v>0</v>
      </c>
      <c r="BD136" s="4">
        <v>0</v>
      </c>
      <c r="BE136" s="4">
        <v>0</v>
      </c>
      <c r="BF136" s="43">
        <v>0</v>
      </c>
      <c r="BG136" s="4">
        <v>-11005922.360000001</v>
      </c>
      <c r="BH136" s="4">
        <v>-11005922.360000001</v>
      </c>
      <c r="BI136" s="23">
        <v>-11005922.360000001</v>
      </c>
      <c r="BJ136" s="35">
        <v>-11005922.360000001</v>
      </c>
      <c r="BK136" s="4">
        <v>-11005922.360000001</v>
      </c>
      <c r="BL136" s="35">
        <v>-11005922.360000001</v>
      </c>
      <c r="BM136" s="4">
        <v>-11005922.360000001</v>
      </c>
      <c r="BN136" s="4">
        <v>-11005922.360000001</v>
      </c>
      <c r="BO136" s="4">
        <v>-11005922.360000001</v>
      </c>
      <c r="BP136" s="4">
        <v>-11005922.360000001</v>
      </c>
      <c r="BQ136" s="35">
        <v>-11005922.360000001</v>
      </c>
      <c r="BR136" s="4">
        <v>-11005922.360000001</v>
      </c>
      <c r="BS136" s="35">
        <v>-11005922.360000001</v>
      </c>
      <c r="BT136" s="4">
        <v>-11005922.360000001</v>
      </c>
      <c r="BU136" s="4">
        <v>-11005922.360000001</v>
      </c>
      <c r="BV136" s="4">
        <v>-11005922.360000001</v>
      </c>
      <c r="BW136" s="4">
        <v>-11005922.360000001</v>
      </c>
      <c r="BX136" s="4">
        <v>-11005922.360000001</v>
      </c>
      <c r="BY136" s="4">
        <v>-11005922.360000001</v>
      </c>
      <c r="BZ136" s="4">
        <v>-11005922.360000001</v>
      </c>
      <c r="CA136" s="4">
        <v>-11005922.360000001</v>
      </c>
      <c r="CB136" s="4">
        <v>-11005922.360000001</v>
      </c>
      <c r="CC136" s="4">
        <v>-11005922.360000001</v>
      </c>
      <c r="CD136" s="4">
        <v>-11005922.360000001</v>
      </c>
      <c r="CE136" s="4">
        <v>-11005922.360000001</v>
      </c>
      <c r="CF136" s="4">
        <v>-11005922.360000001</v>
      </c>
      <c r="CG136" s="4">
        <v>-11005922.360000001</v>
      </c>
      <c r="CH136" s="4">
        <v>-11005922.360000001</v>
      </c>
      <c r="CI136" s="4">
        <v>-11005922.360000001</v>
      </c>
      <c r="CJ136" s="35">
        <v>-11005922.360000001</v>
      </c>
      <c r="CK136" s="4">
        <v>-11005922.360000001</v>
      </c>
      <c r="CL136" s="35">
        <v>-11005922.360000001</v>
      </c>
      <c r="CM136" s="4">
        <v>-11005922.360000001</v>
      </c>
      <c r="CN136" s="4">
        <v>-11005922.360000001</v>
      </c>
      <c r="CO136" s="4">
        <v>-11005922.360000001</v>
      </c>
      <c r="CP136" s="4">
        <v>-11005922.360000001</v>
      </c>
      <c r="CQ136" s="4">
        <v>-11005922.360000001</v>
      </c>
      <c r="CR136" s="4">
        <v>-11005922.360000001</v>
      </c>
      <c r="CS136" s="4">
        <v>-11005922.360000001</v>
      </c>
    </row>
    <row r="137" spans="1:97" x14ac:dyDescent="0.25">
      <c r="A137" t="s">
        <v>109</v>
      </c>
      <c r="C137" s="23">
        <v>-614118.63105699513</v>
      </c>
      <c r="D137" s="4">
        <v>-614118.63105699513</v>
      </c>
      <c r="E137" s="4">
        <v>-614118.63105699513</v>
      </c>
      <c r="F137" s="4">
        <v>-614118.63105699513</v>
      </c>
      <c r="G137" s="4">
        <v>-614118.63105699513</v>
      </c>
      <c r="H137" s="4">
        <v>-614118.63105699513</v>
      </c>
      <c r="I137" s="4">
        <v>-614118.63105699513</v>
      </c>
      <c r="J137" s="4">
        <v>-614118.63105699513</v>
      </c>
      <c r="K137" s="4">
        <v>-614118.63105699513</v>
      </c>
      <c r="L137" s="23">
        <v>-614118.63105699513</v>
      </c>
      <c r="M137" s="4">
        <v>-614118.63105699513</v>
      </c>
      <c r="N137" s="4">
        <v>-614118.63105699513</v>
      </c>
      <c r="O137" s="23">
        <v>-614118.63105699513</v>
      </c>
      <c r="P137" s="4">
        <v>-614118.63105699513</v>
      </c>
      <c r="Q137" s="4">
        <v>0</v>
      </c>
      <c r="R137" s="4">
        <v>0</v>
      </c>
      <c r="S137" s="4">
        <v>0</v>
      </c>
      <c r="T137" s="23">
        <v>0</v>
      </c>
      <c r="U137" s="39">
        <v>0</v>
      </c>
      <c r="V137" s="39">
        <v>0</v>
      </c>
      <c r="W137" s="39">
        <v>0</v>
      </c>
      <c r="X137" s="39">
        <v>0</v>
      </c>
      <c r="Y137" s="23">
        <v>0</v>
      </c>
      <c r="Z137" s="39">
        <v>0</v>
      </c>
      <c r="AA137" s="39">
        <v>0</v>
      </c>
      <c r="AB137" s="39">
        <v>0</v>
      </c>
      <c r="AC137" s="39">
        <v>0</v>
      </c>
      <c r="AD137" s="43">
        <v>0</v>
      </c>
      <c r="AE137" s="4">
        <v>0</v>
      </c>
      <c r="AF137" s="4">
        <v>-2150627.8596598571</v>
      </c>
      <c r="AG137" s="4">
        <v>-2150627.8596598571</v>
      </c>
      <c r="AH137" s="4">
        <v>-2150627.8596598571</v>
      </c>
      <c r="AI137" s="4">
        <v>-2150627.8596598571</v>
      </c>
      <c r="AJ137" s="23">
        <v>-2150627.8596598571</v>
      </c>
      <c r="AK137" s="39">
        <v>-2150627.8596598571</v>
      </c>
      <c r="AL137" s="39">
        <v>-2150627.8596598571</v>
      </c>
      <c r="AM137" s="39">
        <v>-2150627.8596598571</v>
      </c>
      <c r="AN137" s="39">
        <v>-2150627.8596598571</v>
      </c>
      <c r="AO137" s="4">
        <v>-2150627.8596598571</v>
      </c>
      <c r="AP137" s="23">
        <v>-2150627.8596598571</v>
      </c>
      <c r="AQ137" s="4">
        <v>-2150627.8596598571</v>
      </c>
      <c r="AR137" s="4">
        <v>-2150627.8596598571</v>
      </c>
      <c r="AS137" s="4">
        <v>-2150627.8596598571</v>
      </c>
      <c r="AT137" s="4">
        <v>-2150627.8596598571</v>
      </c>
      <c r="AU137" s="4">
        <v>-2150627.8596598571</v>
      </c>
      <c r="AV137" s="23">
        <v>-2150627.8596598571</v>
      </c>
      <c r="AW137" s="4">
        <v>-2150627.8596598571</v>
      </c>
      <c r="AX137" s="4">
        <v>-2150627.8596598571</v>
      </c>
      <c r="AY137" s="4">
        <v>-2150627.8596598571</v>
      </c>
      <c r="AZ137" s="4">
        <v>-2150627.8596598571</v>
      </c>
      <c r="BA137" s="4">
        <v>-2150627.8596598571</v>
      </c>
      <c r="BB137" s="23">
        <v>-2150627.8596598571</v>
      </c>
      <c r="BC137" s="4">
        <v>-2150627.8596598571</v>
      </c>
      <c r="BD137" s="4">
        <v>-2150627.8596598571</v>
      </c>
      <c r="BE137" s="4">
        <v>-2150627.8596598571</v>
      </c>
      <c r="BF137" s="43">
        <v>-2150627.8596598571</v>
      </c>
      <c r="BG137" s="4">
        <v>0</v>
      </c>
      <c r="BH137" s="4">
        <v>0</v>
      </c>
      <c r="BI137" s="23">
        <v>0</v>
      </c>
      <c r="BJ137" s="35">
        <v>0</v>
      </c>
      <c r="BK137" s="4">
        <v>0</v>
      </c>
      <c r="BL137" s="35">
        <v>0</v>
      </c>
      <c r="BM137" s="4">
        <v>0</v>
      </c>
      <c r="BN137" s="4">
        <v>0</v>
      </c>
      <c r="BO137" s="4">
        <v>0</v>
      </c>
      <c r="BP137" s="4">
        <v>0</v>
      </c>
      <c r="BQ137" s="35">
        <v>0</v>
      </c>
      <c r="BR137" s="4">
        <v>0</v>
      </c>
      <c r="BS137" s="35">
        <v>0</v>
      </c>
      <c r="BT137" s="4">
        <v>0</v>
      </c>
      <c r="BU137" s="4">
        <v>0</v>
      </c>
      <c r="BV137" s="4">
        <v>0</v>
      </c>
      <c r="BW137" s="4">
        <v>0</v>
      </c>
      <c r="BX137" s="4">
        <v>0</v>
      </c>
      <c r="BY137" s="4">
        <v>0</v>
      </c>
      <c r="BZ137" s="4">
        <v>0</v>
      </c>
      <c r="CA137" s="4">
        <v>0</v>
      </c>
      <c r="CB137" s="4">
        <v>0</v>
      </c>
      <c r="CC137" s="4">
        <v>0</v>
      </c>
      <c r="CD137" s="4">
        <v>0</v>
      </c>
      <c r="CE137" s="4">
        <v>0</v>
      </c>
      <c r="CF137" s="4">
        <v>0</v>
      </c>
      <c r="CG137" s="4">
        <v>0</v>
      </c>
      <c r="CH137" s="4">
        <v>0</v>
      </c>
      <c r="CI137" s="4">
        <v>0</v>
      </c>
      <c r="CJ137" s="35">
        <v>0</v>
      </c>
      <c r="CK137" s="4">
        <v>0</v>
      </c>
      <c r="CL137" s="35">
        <v>0</v>
      </c>
      <c r="CM137" s="4">
        <v>0</v>
      </c>
      <c r="CN137" s="4">
        <v>0</v>
      </c>
      <c r="CO137" s="4">
        <v>0</v>
      </c>
      <c r="CP137" s="4">
        <v>0</v>
      </c>
      <c r="CQ137" s="4">
        <v>0</v>
      </c>
      <c r="CR137" s="4">
        <v>0</v>
      </c>
      <c r="CS137" s="4">
        <v>0</v>
      </c>
    </row>
    <row r="138" spans="1:97" x14ac:dyDescent="0.25">
      <c r="A138" t="s">
        <v>148</v>
      </c>
      <c r="C138" s="23">
        <v>-1165300.0450000002</v>
      </c>
      <c r="D138" s="4">
        <v>-1165300.0450000002</v>
      </c>
      <c r="E138" s="4">
        <v>-1165300.0450000002</v>
      </c>
      <c r="F138" s="4">
        <v>-1165300.0450000002</v>
      </c>
      <c r="G138" s="4">
        <v>-1165300.0450000002</v>
      </c>
      <c r="H138" s="4">
        <v>-1165300.0450000002</v>
      </c>
      <c r="I138" s="4">
        <v>-1165300.0450000002</v>
      </c>
      <c r="J138" s="4">
        <v>-1165300.0450000002</v>
      </c>
      <c r="K138" s="4">
        <v>-1165300.0450000002</v>
      </c>
      <c r="L138" s="23">
        <v>-1165300.0450000002</v>
      </c>
      <c r="M138" s="4">
        <v>-1165300.0450000002</v>
      </c>
      <c r="N138" s="4">
        <v>-1165300.0450000002</v>
      </c>
      <c r="O138" s="23">
        <v>-1165300.0450000002</v>
      </c>
      <c r="P138" s="4">
        <v>-1165300.0450000002</v>
      </c>
      <c r="Q138" s="4">
        <v>-42992680.183333337</v>
      </c>
      <c r="R138" s="4">
        <v>-42992680.183333337</v>
      </c>
      <c r="S138" s="4">
        <v>-42992680.183333337</v>
      </c>
      <c r="T138" s="23">
        <v>-42992680.183333337</v>
      </c>
      <c r="U138" s="39">
        <v>-42992680.183333337</v>
      </c>
      <c r="V138" s="39">
        <v>-42992680.183333337</v>
      </c>
      <c r="W138" s="39">
        <v>-42992680.183333337</v>
      </c>
      <c r="X138" s="39">
        <v>-42992680.183333337</v>
      </c>
      <c r="Y138" s="23">
        <v>-42992680.183333337</v>
      </c>
      <c r="Z138" s="39">
        <v>-42992680.183333337</v>
      </c>
      <c r="AA138" s="39">
        <v>-42992680.183333337</v>
      </c>
      <c r="AB138" s="39">
        <v>-42992680.183333337</v>
      </c>
      <c r="AC138" s="39">
        <v>-42992680.183333337</v>
      </c>
      <c r="AD138" s="4">
        <v>-42992680.183333337</v>
      </c>
      <c r="AE138" s="4">
        <v>-42992680.183333337</v>
      </c>
      <c r="AF138" s="4">
        <v>-17379860.113333333</v>
      </c>
      <c r="AG138" s="4">
        <v>-17379860.113333333</v>
      </c>
      <c r="AH138" s="4">
        <v>-17379860.113333333</v>
      </c>
      <c r="AI138" s="4">
        <v>-17379860.113333333</v>
      </c>
      <c r="AJ138" s="23">
        <v>-17379860.113333333</v>
      </c>
      <c r="AK138" s="39">
        <v>-17379860.113333333</v>
      </c>
      <c r="AL138" s="39">
        <v>-17379860.113333333</v>
      </c>
      <c r="AM138" s="39">
        <v>-17379860.113333333</v>
      </c>
      <c r="AN138" s="39">
        <v>-17379860.113333333</v>
      </c>
      <c r="AO138" s="4">
        <v>-17379860.113333333</v>
      </c>
      <c r="AP138" s="23">
        <v>-17379860.113333333</v>
      </c>
      <c r="AQ138" s="4">
        <v>-17379860.113333333</v>
      </c>
      <c r="AR138" s="4">
        <v>-17379860.113333333</v>
      </c>
      <c r="AS138" s="4">
        <v>-17379860.113333333</v>
      </c>
      <c r="AT138" s="4">
        <v>-17379860.113333333</v>
      </c>
      <c r="AU138" s="4">
        <v>-17379860.113333333</v>
      </c>
      <c r="AV138" s="23">
        <v>-17379860.113333333</v>
      </c>
      <c r="AW138" s="4">
        <v>-17379860.113333333</v>
      </c>
      <c r="AX138" s="4">
        <v>-17379860.113333333</v>
      </c>
      <c r="AY138" s="4">
        <v>-17379860.113333333</v>
      </c>
      <c r="AZ138" s="4">
        <v>-17379860.113333333</v>
      </c>
      <c r="BA138" s="4">
        <v>-17379860.113333333</v>
      </c>
      <c r="BB138" s="23">
        <v>-17379860.113333333</v>
      </c>
      <c r="BC138" s="4">
        <v>-17379860.113333333</v>
      </c>
      <c r="BD138" s="4">
        <v>-17379860.113333333</v>
      </c>
      <c r="BE138" s="4">
        <v>-17379860.113333333</v>
      </c>
      <c r="BF138" s="4">
        <v>-17379860.113333333</v>
      </c>
      <c r="BG138" s="4">
        <v>-43556694.646666661</v>
      </c>
      <c r="BH138" s="4">
        <v>-43556694.646666661</v>
      </c>
      <c r="BI138" s="23">
        <v>-43556694.646666661</v>
      </c>
      <c r="BJ138" s="35">
        <v>-43556694.646666661</v>
      </c>
      <c r="BK138" s="4">
        <v>-43556694.646666661</v>
      </c>
      <c r="BL138" s="35">
        <v>-43556694.646666661</v>
      </c>
      <c r="BM138" s="4">
        <v>-43556694.646666661</v>
      </c>
      <c r="BN138" s="4">
        <v>-43556694.646666661</v>
      </c>
      <c r="BO138" s="4">
        <v>-43556694.646666661</v>
      </c>
      <c r="BP138" s="4">
        <v>-43556694.646666661</v>
      </c>
      <c r="BQ138" s="35">
        <v>-43556694.646666661</v>
      </c>
      <c r="BR138" s="4">
        <v>-43556694.646666661</v>
      </c>
      <c r="BS138" s="35">
        <v>-43556694.646666661</v>
      </c>
      <c r="BT138" s="4">
        <v>-43556694.646666661</v>
      </c>
      <c r="BU138" s="4">
        <v>-43556694.646666661</v>
      </c>
      <c r="BV138" s="4">
        <v>-43556694.646666661</v>
      </c>
      <c r="BW138" s="4">
        <v>-43556694.646666661</v>
      </c>
      <c r="BX138" s="4">
        <v>-43556694.646666661</v>
      </c>
      <c r="BY138" s="4">
        <v>-43556694.646666661</v>
      </c>
      <c r="BZ138" s="4">
        <v>-43556694.646666661</v>
      </c>
      <c r="CA138" s="4">
        <v>-43556694.646666661</v>
      </c>
      <c r="CB138" s="4">
        <v>-43556694.646666661</v>
      </c>
      <c r="CC138" s="4">
        <v>-43556694.646666661</v>
      </c>
      <c r="CD138" s="4">
        <v>-43556694.646666661</v>
      </c>
      <c r="CE138" s="4">
        <v>-43556694.646666661</v>
      </c>
      <c r="CF138" s="4">
        <v>-43556694.646666661</v>
      </c>
      <c r="CG138" s="4">
        <v>-43556694.646666661</v>
      </c>
      <c r="CH138" s="4">
        <v>-43556694.646666661</v>
      </c>
      <c r="CI138" s="4">
        <v>-43556694.646666661</v>
      </c>
      <c r="CJ138" s="35">
        <v>-43556694.646666661</v>
      </c>
      <c r="CK138" s="4">
        <v>-43556694.646666661</v>
      </c>
      <c r="CL138" s="35">
        <v>-43556694.646666661</v>
      </c>
      <c r="CM138" s="4">
        <v>-43556694.646666661</v>
      </c>
      <c r="CN138" s="4">
        <v>-43556694.646666661</v>
      </c>
      <c r="CO138" s="4">
        <v>-43556694.646666661</v>
      </c>
      <c r="CP138" s="4">
        <v>-43556694.646666661</v>
      </c>
      <c r="CQ138" s="4">
        <v>-43556694.646666661</v>
      </c>
      <c r="CR138" s="4">
        <v>-43556694.646666661</v>
      </c>
      <c r="CS138" s="4">
        <v>-43556694.646666661</v>
      </c>
    </row>
    <row r="139" spans="1:97" x14ac:dyDescent="0.25">
      <c r="A139" t="s">
        <v>149</v>
      </c>
      <c r="C139" s="23">
        <v>-1756520.1683333332</v>
      </c>
      <c r="D139" s="4">
        <v>-1756520.1683333332</v>
      </c>
      <c r="E139" s="4">
        <v>-1756520.1683333332</v>
      </c>
      <c r="F139" s="4">
        <v>-1756520.1683333332</v>
      </c>
      <c r="G139" s="4">
        <v>-1756520.1683333332</v>
      </c>
      <c r="H139" s="4">
        <v>-1756520.1683333332</v>
      </c>
      <c r="I139" s="4">
        <v>-1756520.1683333332</v>
      </c>
      <c r="J139" s="4">
        <v>-1756520.1683333332</v>
      </c>
      <c r="K139" s="4">
        <v>-1756520.1683333332</v>
      </c>
      <c r="L139" s="23">
        <v>-1756520.1683333332</v>
      </c>
      <c r="M139" s="4">
        <v>-1756520.1683333332</v>
      </c>
      <c r="N139" s="4">
        <v>-1756520.1683333332</v>
      </c>
      <c r="O139" s="23">
        <v>-1756520.1683333332</v>
      </c>
      <c r="P139" s="4">
        <v>-1756520.1683333332</v>
      </c>
      <c r="Q139" s="4">
        <v>0</v>
      </c>
      <c r="R139" s="4">
        <v>0</v>
      </c>
      <c r="S139" s="4">
        <v>0</v>
      </c>
      <c r="T139" s="23">
        <v>0</v>
      </c>
      <c r="U139" s="39">
        <v>0</v>
      </c>
      <c r="V139" s="39">
        <v>0</v>
      </c>
      <c r="W139" s="39">
        <v>0</v>
      </c>
      <c r="X139" s="39">
        <v>0</v>
      </c>
      <c r="Y139" s="23">
        <v>0</v>
      </c>
      <c r="Z139" s="39">
        <v>0</v>
      </c>
      <c r="AA139" s="39">
        <v>0</v>
      </c>
      <c r="AB139" s="39">
        <v>0</v>
      </c>
      <c r="AC139" s="39">
        <v>0</v>
      </c>
      <c r="AD139" s="4">
        <v>0</v>
      </c>
      <c r="AE139" s="4">
        <v>0</v>
      </c>
      <c r="AF139" s="4">
        <v>-14605.866666666669</v>
      </c>
      <c r="AG139" s="4">
        <v>-14605.866666666669</v>
      </c>
      <c r="AH139" s="4">
        <v>-14605.866666666669</v>
      </c>
      <c r="AI139" s="4">
        <v>-14605.866666666669</v>
      </c>
      <c r="AJ139" s="23">
        <v>-14605.866666666669</v>
      </c>
      <c r="AK139" s="39">
        <v>-14605.866666666669</v>
      </c>
      <c r="AL139" s="39">
        <v>-14605.866666666669</v>
      </c>
      <c r="AM139" s="39">
        <v>-14605.866666666669</v>
      </c>
      <c r="AN139" s="39">
        <v>-14605.866666666669</v>
      </c>
      <c r="AO139" s="4">
        <v>-14605.866666666669</v>
      </c>
      <c r="AP139" s="23">
        <v>-14605.866666666669</v>
      </c>
      <c r="AQ139" s="4">
        <v>-14605.866666666669</v>
      </c>
      <c r="AR139" s="4">
        <v>-14605.866666666669</v>
      </c>
      <c r="AS139" s="4">
        <v>-14605.866666666669</v>
      </c>
      <c r="AT139" s="4">
        <v>-14605.866666666669</v>
      </c>
      <c r="AU139" s="4">
        <v>-14605.866666666669</v>
      </c>
      <c r="AV139" s="23">
        <v>-14605.866666666669</v>
      </c>
      <c r="AW139" s="4">
        <v>-14605.866666666669</v>
      </c>
      <c r="AX139" s="4">
        <v>-14605.866666666669</v>
      </c>
      <c r="AY139" s="4">
        <v>-14605.866666666669</v>
      </c>
      <c r="AZ139" s="4">
        <v>-14605.866666666669</v>
      </c>
      <c r="BA139" s="4">
        <v>-14605.866666666669</v>
      </c>
      <c r="BB139" s="23">
        <v>-14605.866666666669</v>
      </c>
      <c r="BC139" s="4">
        <v>-14605.866666666669</v>
      </c>
      <c r="BD139" s="4">
        <v>-14605.866666666669</v>
      </c>
      <c r="BE139" s="4">
        <v>-14605.866666666669</v>
      </c>
      <c r="BF139" s="4">
        <v>-14605.866666666669</v>
      </c>
      <c r="BG139" s="4">
        <v>-1444948.7116666667</v>
      </c>
      <c r="BH139" s="4">
        <v>-1444948.7116666667</v>
      </c>
      <c r="BI139" s="23">
        <v>-1444948.7116666667</v>
      </c>
      <c r="BJ139" s="35">
        <v>-1444948.7116666667</v>
      </c>
      <c r="BK139" s="4">
        <v>-1444948.7116666667</v>
      </c>
      <c r="BL139" s="35">
        <v>-1444948.7116666667</v>
      </c>
      <c r="BM139" s="4">
        <v>-1444948.7116666667</v>
      </c>
      <c r="BN139" s="4">
        <v>-1444948.7116666667</v>
      </c>
      <c r="BO139" s="4">
        <v>-1444948.7116666667</v>
      </c>
      <c r="BP139" s="4">
        <v>-1444948.7116666667</v>
      </c>
      <c r="BQ139" s="35">
        <v>-1444948.7116666667</v>
      </c>
      <c r="BR139" s="4">
        <v>-1444948.7116666667</v>
      </c>
      <c r="BS139" s="35">
        <v>-1444948.7116666667</v>
      </c>
      <c r="BT139" s="4">
        <v>-1444948.7116666667</v>
      </c>
      <c r="BU139" s="4">
        <v>-1444948.7116666667</v>
      </c>
      <c r="BV139" s="4">
        <v>-1444948.7116666667</v>
      </c>
      <c r="BW139" s="4">
        <v>-1444948.7116666667</v>
      </c>
      <c r="BX139" s="4">
        <v>-1444948.7116666667</v>
      </c>
      <c r="BY139" s="4">
        <v>-1444948.7116666667</v>
      </c>
      <c r="BZ139" s="4">
        <v>-1444948.7116666667</v>
      </c>
      <c r="CA139" s="4">
        <v>-1444948.7116666667</v>
      </c>
      <c r="CB139" s="4">
        <v>-1444948.7116666667</v>
      </c>
      <c r="CC139" s="4">
        <v>-1444948.7116666667</v>
      </c>
      <c r="CD139" s="4">
        <v>-1444948.7116666667</v>
      </c>
      <c r="CE139" s="4">
        <v>-1444948.7116666667</v>
      </c>
      <c r="CF139" s="4">
        <v>-1444948.7116666667</v>
      </c>
      <c r="CG139" s="4">
        <v>-1444948.7116666667</v>
      </c>
      <c r="CH139" s="4">
        <v>-1444948.7116666667</v>
      </c>
      <c r="CI139" s="4">
        <v>-1444948.7116666667</v>
      </c>
      <c r="CJ139" s="35">
        <v>-1444948.7116666667</v>
      </c>
      <c r="CK139" s="4">
        <v>-1444948.7116666667</v>
      </c>
      <c r="CL139" s="35">
        <v>-1444948.7116666667</v>
      </c>
      <c r="CM139" s="4">
        <v>-1444948.7116666667</v>
      </c>
      <c r="CN139" s="4">
        <v>-1444948.7116666667</v>
      </c>
      <c r="CO139" s="4">
        <v>-1444948.7116666667</v>
      </c>
      <c r="CP139" s="4">
        <v>-1444948.7116666667</v>
      </c>
      <c r="CQ139" s="4">
        <v>-1444948.7116666667</v>
      </c>
      <c r="CR139" s="4">
        <v>-1444948.7116666667</v>
      </c>
      <c r="CS139" s="4">
        <v>-1444948.7116666667</v>
      </c>
    </row>
    <row r="140" spans="1:97" x14ac:dyDescent="0.25">
      <c r="A140" t="s">
        <v>150</v>
      </c>
      <c r="C140" s="23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  <c r="L140" s="23">
        <v>0</v>
      </c>
      <c r="M140" s="4">
        <v>0</v>
      </c>
      <c r="N140" s="4">
        <v>0</v>
      </c>
      <c r="O140" s="23">
        <v>0</v>
      </c>
      <c r="P140" s="4">
        <v>0</v>
      </c>
      <c r="Q140" s="4">
        <v>0</v>
      </c>
      <c r="R140" s="4">
        <v>0</v>
      </c>
      <c r="S140" s="4">
        <v>0</v>
      </c>
      <c r="T140" s="23">
        <v>0</v>
      </c>
      <c r="U140" s="39">
        <v>0</v>
      </c>
      <c r="V140" s="39">
        <v>0</v>
      </c>
      <c r="W140" s="39">
        <v>0</v>
      </c>
      <c r="X140" s="39">
        <v>0</v>
      </c>
      <c r="Y140" s="23">
        <v>0</v>
      </c>
      <c r="Z140" s="39">
        <v>0</v>
      </c>
      <c r="AA140" s="39">
        <v>0</v>
      </c>
      <c r="AB140" s="39">
        <v>0</v>
      </c>
      <c r="AC140" s="39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23">
        <v>0</v>
      </c>
      <c r="AK140" s="39">
        <v>0</v>
      </c>
      <c r="AL140" s="39">
        <v>0</v>
      </c>
      <c r="AM140" s="39">
        <v>0</v>
      </c>
      <c r="AN140" s="39">
        <v>0</v>
      </c>
      <c r="AO140" s="4">
        <v>0</v>
      </c>
      <c r="AP140" s="23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23">
        <v>0</v>
      </c>
      <c r="AW140" s="4">
        <v>0</v>
      </c>
      <c r="AX140" s="4">
        <v>0</v>
      </c>
      <c r="AY140" s="4">
        <v>0</v>
      </c>
      <c r="AZ140" s="4">
        <v>0</v>
      </c>
      <c r="BA140" s="4">
        <v>0</v>
      </c>
      <c r="BB140" s="23">
        <v>0</v>
      </c>
      <c r="BC140" s="4">
        <v>0</v>
      </c>
      <c r="BD140" s="4">
        <v>0</v>
      </c>
      <c r="BE140" s="4">
        <v>0</v>
      </c>
      <c r="BF140" s="4">
        <v>0</v>
      </c>
      <c r="BG140" s="4">
        <v>0</v>
      </c>
      <c r="BH140" s="4">
        <v>0</v>
      </c>
      <c r="BI140" s="23">
        <v>0</v>
      </c>
      <c r="BJ140" s="35">
        <v>0</v>
      </c>
      <c r="BK140" s="4">
        <v>0</v>
      </c>
      <c r="BL140" s="35">
        <v>0</v>
      </c>
      <c r="BM140" s="4">
        <v>0</v>
      </c>
      <c r="BN140" s="4">
        <v>0</v>
      </c>
      <c r="BO140" s="4">
        <v>0</v>
      </c>
      <c r="BP140" s="4">
        <v>0</v>
      </c>
      <c r="BQ140" s="35">
        <v>0</v>
      </c>
      <c r="BR140" s="4">
        <v>0</v>
      </c>
      <c r="BS140" s="35">
        <v>0</v>
      </c>
      <c r="BT140" s="4">
        <v>0</v>
      </c>
      <c r="BU140" s="4">
        <v>0</v>
      </c>
      <c r="BV140" s="4">
        <v>0</v>
      </c>
      <c r="BW140" s="4">
        <v>0</v>
      </c>
      <c r="BX140" s="4">
        <v>0</v>
      </c>
      <c r="BY140" s="4">
        <v>0</v>
      </c>
      <c r="BZ140" s="4">
        <v>0</v>
      </c>
      <c r="CA140" s="4">
        <v>0</v>
      </c>
      <c r="CB140" s="4">
        <v>0</v>
      </c>
      <c r="CC140" s="4">
        <v>0</v>
      </c>
      <c r="CD140" s="4">
        <v>0</v>
      </c>
      <c r="CE140" s="4">
        <v>0</v>
      </c>
      <c r="CF140" s="4">
        <v>0</v>
      </c>
      <c r="CG140" s="4">
        <v>0</v>
      </c>
      <c r="CH140" s="4">
        <v>0</v>
      </c>
      <c r="CI140" s="4">
        <v>0</v>
      </c>
      <c r="CJ140" s="35">
        <v>0</v>
      </c>
      <c r="CK140" s="4">
        <v>0</v>
      </c>
      <c r="CL140" s="35">
        <v>0</v>
      </c>
      <c r="CM140" s="4">
        <v>0</v>
      </c>
      <c r="CN140" s="4">
        <v>0</v>
      </c>
      <c r="CO140" s="4">
        <v>0</v>
      </c>
      <c r="CP140" s="4">
        <v>0</v>
      </c>
      <c r="CQ140" s="4">
        <v>0</v>
      </c>
      <c r="CR140" s="4">
        <v>0</v>
      </c>
      <c r="CS140" s="4">
        <v>0</v>
      </c>
    </row>
    <row r="141" spans="1:97" x14ac:dyDescent="0.25">
      <c r="A141" t="s">
        <v>151</v>
      </c>
      <c r="C141" s="23">
        <v>-51589612.475493103</v>
      </c>
      <c r="D141" s="4">
        <v>-51589612.475493103</v>
      </c>
      <c r="E141" s="4">
        <v>-51589612.475493103</v>
      </c>
      <c r="F141" s="4">
        <v>-51589612.475493103</v>
      </c>
      <c r="G141" s="4">
        <v>-51589612.475493103</v>
      </c>
      <c r="H141" s="4">
        <v>-51589612.475493103</v>
      </c>
      <c r="I141" s="4">
        <v>-51589612.475493103</v>
      </c>
      <c r="J141" s="4">
        <v>-51589612.475493103</v>
      </c>
      <c r="K141" s="4">
        <v>-51589612.475493103</v>
      </c>
      <c r="L141" s="23">
        <v>-51589612.475493103</v>
      </c>
      <c r="M141" s="4">
        <v>-51589612.475493103</v>
      </c>
      <c r="N141" s="4">
        <v>-51589612.475493103</v>
      </c>
      <c r="O141" s="23">
        <v>-51589612.475493103</v>
      </c>
      <c r="P141" s="4">
        <v>-51589612.475493103</v>
      </c>
      <c r="Q141" s="4">
        <v>0</v>
      </c>
      <c r="R141" s="4">
        <v>0</v>
      </c>
      <c r="S141" s="4">
        <v>0</v>
      </c>
      <c r="T141" s="23">
        <v>0</v>
      </c>
      <c r="U141" s="39">
        <v>0</v>
      </c>
      <c r="V141" s="39">
        <v>0</v>
      </c>
      <c r="W141" s="39">
        <v>0</v>
      </c>
      <c r="X141" s="39">
        <v>0</v>
      </c>
      <c r="Y141" s="23">
        <v>0</v>
      </c>
      <c r="Z141" s="39">
        <v>0</v>
      </c>
      <c r="AA141" s="39">
        <v>0</v>
      </c>
      <c r="AB141" s="39">
        <v>0</v>
      </c>
      <c r="AC141" s="39">
        <v>0</v>
      </c>
      <c r="AD141" s="4">
        <v>0</v>
      </c>
      <c r="AE141" s="4">
        <v>0</v>
      </c>
      <c r="AF141" s="4">
        <v>-77658554.323993921</v>
      </c>
      <c r="AG141" s="4">
        <v>-77658554.323993921</v>
      </c>
      <c r="AH141" s="4">
        <v>-77658554.323993921</v>
      </c>
      <c r="AI141" s="4">
        <v>-77658554.323993921</v>
      </c>
      <c r="AJ141" s="23">
        <v>-77658554.323993921</v>
      </c>
      <c r="AK141" s="39">
        <v>-77658554.323993921</v>
      </c>
      <c r="AL141" s="39">
        <v>-77658554.323993921</v>
      </c>
      <c r="AM141" s="39">
        <v>-77658554.323993921</v>
      </c>
      <c r="AN141" s="39">
        <v>-77658554.323993921</v>
      </c>
      <c r="AO141" s="4">
        <v>-77658554.323993921</v>
      </c>
      <c r="AP141" s="23">
        <v>-77658554.323993921</v>
      </c>
      <c r="AQ141" s="4">
        <v>-77658554.323993921</v>
      </c>
      <c r="AR141" s="4">
        <v>-77658554.323993921</v>
      </c>
      <c r="AS141" s="4">
        <v>-77658554.323993921</v>
      </c>
      <c r="AT141" s="4">
        <v>-77658554.323993921</v>
      </c>
      <c r="AU141" s="4">
        <v>-77658554.323993921</v>
      </c>
      <c r="AV141" s="23">
        <v>-77658554.323993921</v>
      </c>
      <c r="AW141" s="4">
        <v>-77658554.323993921</v>
      </c>
      <c r="AX141" s="4">
        <v>-77658554.323993921</v>
      </c>
      <c r="AY141" s="4">
        <v>-77658554.323993921</v>
      </c>
      <c r="AZ141" s="4">
        <v>-77658554.323993921</v>
      </c>
      <c r="BA141" s="4">
        <v>-77658554.323993921</v>
      </c>
      <c r="BB141" s="23">
        <v>-77658554.323993921</v>
      </c>
      <c r="BC141" s="4">
        <v>-77658554.323993921</v>
      </c>
      <c r="BD141" s="4">
        <v>-77658554.323993921</v>
      </c>
      <c r="BE141" s="4">
        <v>-77658554.323993921</v>
      </c>
      <c r="BF141" s="4">
        <v>-77658554.323993921</v>
      </c>
      <c r="BG141" s="4">
        <v>0</v>
      </c>
      <c r="BH141" s="4">
        <v>0</v>
      </c>
      <c r="BI141" s="23">
        <v>0</v>
      </c>
      <c r="BJ141" s="35">
        <v>0</v>
      </c>
      <c r="BK141" s="4">
        <v>0</v>
      </c>
      <c r="BL141" s="35">
        <v>0</v>
      </c>
      <c r="BM141" s="4">
        <v>0</v>
      </c>
      <c r="BN141" s="4">
        <v>0</v>
      </c>
      <c r="BO141" s="4">
        <v>0</v>
      </c>
      <c r="BP141" s="4">
        <v>0</v>
      </c>
      <c r="BQ141" s="35">
        <v>0</v>
      </c>
      <c r="BR141" s="4">
        <v>0</v>
      </c>
      <c r="BS141" s="35">
        <v>0</v>
      </c>
      <c r="BT141" s="4">
        <v>0</v>
      </c>
      <c r="BU141" s="4">
        <v>0</v>
      </c>
      <c r="BV141" s="4">
        <v>0</v>
      </c>
      <c r="BW141" s="4">
        <v>0</v>
      </c>
      <c r="BX141" s="4">
        <v>0</v>
      </c>
      <c r="BY141" s="4">
        <v>0</v>
      </c>
      <c r="BZ141" s="4">
        <v>0</v>
      </c>
      <c r="CA141" s="4">
        <v>0</v>
      </c>
      <c r="CB141" s="4">
        <v>0</v>
      </c>
      <c r="CC141" s="4">
        <v>0</v>
      </c>
      <c r="CD141" s="4">
        <v>0</v>
      </c>
      <c r="CE141" s="4">
        <v>0</v>
      </c>
      <c r="CF141" s="4">
        <v>0</v>
      </c>
      <c r="CG141" s="4">
        <v>0</v>
      </c>
      <c r="CH141" s="4">
        <v>0</v>
      </c>
      <c r="CI141" s="4">
        <v>0</v>
      </c>
      <c r="CJ141" s="35">
        <v>0</v>
      </c>
      <c r="CK141" s="4">
        <v>0</v>
      </c>
      <c r="CL141" s="35">
        <v>0</v>
      </c>
      <c r="CM141" s="4">
        <v>0</v>
      </c>
      <c r="CN141" s="4">
        <v>0</v>
      </c>
      <c r="CO141" s="4">
        <v>0</v>
      </c>
      <c r="CP141" s="4">
        <v>0</v>
      </c>
      <c r="CQ141" s="4">
        <v>0</v>
      </c>
      <c r="CR141" s="4">
        <v>0</v>
      </c>
      <c r="CS141" s="4">
        <v>0</v>
      </c>
    </row>
    <row r="142" spans="1:97" x14ac:dyDescent="0.25">
      <c r="A142" t="s">
        <v>152</v>
      </c>
      <c r="C142" s="23">
        <v>-17800545</v>
      </c>
      <c r="D142" s="4">
        <v>-17800545</v>
      </c>
      <c r="E142" s="4">
        <v>-17800545</v>
      </c>
      <c r="F142" s="4">
        <v>-17800545</v>
      </c>
      <c r="G142" s="4">
        <v>-17800545</v>
      </c>
      <c r="H142" s="4">
        <v>-17800545</v>
      </c>
      <c r="I142" s="4">
        <v>-17800545</v>
      </c>
      <c r="J142" s="4">
        <v>-17800545</v>
      </c>
      <c r="K142" s="4">
        <v>-17800545</v>
      </c>
      <c r="L142" s="23">
        <v>-17800545</v>
      </c>
      <c r="M142" s="4">
        <v>-17800545</v>
      </c>
      <c r="N142" s="4">
        <v>-17800545</v>
      </c>
      <c r="O142" s="23">
        <v>-17800545</v>
      </c>
      <c r="P142" s="4">
        <v>-17800545</v>
      </c>
      <c r="Q142" s="4">
        <v>0</v>
      </c>
      <c r="R142" s="4">
        <v>0</v>
      </c>
      <c r="S142" s="4">
        <v>0</v>
      </c>
      <c r="T142" s="23">
        <v>0</v>
      </c>
      <c r="U142" s="39">
        <v>0</v>
      </c>
      <c r="V142" s="39">
        <v>0</v>
      </c>
      <c r="W142" s="39">
        <v>0</v>
      </c>
      <c r="X142" s="39">
        <v>0</v>
      </c>
      <c r="Y142" s="23">
        <v>0</v>
      </c>
      <c r="Z142" s="39">
        <v>0</v>
      </c>
      <c r="AA142" s="39">
        <v>0</v>
      </c>
      <c r="AB142" s="39">
        <v>0</v>
      </c>
      <c r="AC142" s="39">
        <v>0</v>
      </c>
      <c r="AD142" s="4">
        <v>0</v>
      </c>
      <c r="AE142" s="4">
        <v>0</v>
      </c>
      <c r="AF142" s="4">
        <v>0</v>
      </c>
      <c r="AG142" s="4">
        <v>0</v>
      </c>
      <c r="AH142" s="4">
        <v>0</v>
      </c>
      <c r="AI142" s="4">
        <v>0</v>
      </c>
      <c r="AJ142" s="23">
        <v>0</v>
      </c>
      <c r="AK142" s="39">
        <v>0</v>
      </c>
      <c r="AL142" s="39">
        <v>0</v>
      </c>
      <c r="AM142" s="39">
        <v>0</v>
      </c>
      <c r="AN142" s="39">
        <v>0</v>
      </c>
      <c r="AO142" s="4">
        <v>0</v>
      </c>
      <c r="AP142" s="23">
        <v>0</v>
      </c>
      <c r="AQ142" s="4">
        <v>0</v>
      </c>
      <c r="AR142" s="4">
        <v>0</v>
      </c>
      <c r="AS142" s="4">
        <v>0</v>
      </c>
      <c r="AT142" s="4">
        <v>0</v>
      </c>
      <c r="AU142" s="4">
        <v>0</v>
      </c>
      <c r="AV142" s="23">
        <v>0</v>
      </c>
      <c r="AW142" s="4">
        <v>0</v>
      </c>
      <c r="AX142" s="4">
        <v>0</v>
      </c>
      <c r="AY142" s="4">
        <v>0</v>
      </c>
      <c r="AZ142" s="4">
        <v>0</v>
      </c>
      <c r="BA142" s="4">
        <v>0</v>
      </c>
      <c r="BB142" s="23">
        <v>0</v>
      </c>
      <c r="BC142" s="4">
        <v>0</v>
      </c>
      <c r="BD142" s="4">
        <v>0</v>
      </c>
      <c r="BE142" s="4">
        <v>0</v>
      </c>
      <c r="BF142" s="4">
        <v>0</v>
      </c>
      <c r="BG142" s="4">
        <v>0</v>
      </c>
      <c r="BH142" s="4">
        <v>0</v>
      </c>
      <c r="BI142" s="23">
        <v>0</v>
      </c>
      <c r="BJ142" s="35">
        <v>0</v>
      </c>
      <c r="BK142" s="4">
        <v>0</v>
      </c>
      <c r="BL142" s="35">
        <v>0</v>
      </c>
      <c r="BM142" s="4">
        <v>0</v>
      </c>
      <c r="BN142" s="4">
        <v>0</v>
      </c>
      <c r="BO142" s="4">
        <v>0</v>
      </c>
      <c r="BP142" s="4">
        <v>0</v>
      </c>
      <c r="BQ142" s="35">
        <v>0</v>
      </c>
      <c r="BR142" s="4">
        <v>0</v>
      </c>
      <c r="BS142" s="35">
        <v>0</v>
      </c>
      <c r="BT142" s="4">
        <v>0</v>
      </c>
      <c r="BU142" s="4">
        <v>0</v>
      </c>
      <c r="BV142" s="4">
        <v>0</v>
      </c>
      <c r="BW142" s="4">
        <v>0</v>
      </c>
      <c r="BX142" s="4">
        <v>0</v>
      </c>
      <c r="BY142" s="4">
        <v>0</v>
      </c>
      <c r="BZ142" s="4">
        <v>0</v>
      </c>
      <c r="CA142" s="4">
        <v>0</v>
      </c>
      <c r="CB142" s="4">
        <v>0</v>
      </c>
      <c r="CC142" s="4">
        <v>0</v>
      </c>
      <c r="CD142" s="4">
        <v>0</v>
      </c>
      <c r="CE142" s="4">
        <v>0</v>
      </c>
      <c r="CF142" s="4">
        <v>0</v>
      </c>
      <c r="CG142" s="4">
        <v>0</v>
      </c>
      <c r="CH142" s="4">
        <v>0</v>
      </c>
      <c r="CI142" s="4">
        <v>0</v>
      </c>
      <c r="CJ142" s="35">
        <v>0</v>
      </c>
      <c r="CK142" s="4">
        <v>0</v>
      </c>
      <c r="CL142" s="35">
        <v>0</v>
      </c>
      <c r="CM142" s="4">
        <v>0</v>
      </c>
      <c r="CN142" s="4">
        <v>0</v>
      </c>
      <c r="CO142" s="4">
        <v>0</v>
      </c>
      <c r="CP142" s="4">
        <v>0</v>
      </c>
      <c r="CQ142" s="4">
        <v>0</v>
      </c>
      <c r="CR142" s="4">
        <v>0</v>
      </c>
      <c r="CS142" s="4">
        <v>0</v>
      </c>
    </row>
    <row r="143" spans="1:97" x14ac:dyDescent="0.25">
      <c r="A143" t="s">
        <v>153</v>
      </c>
      <c r="C143" s="23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  <c r="L143" s="23">
        <v>0</v>
      </c>
      <c r="M143" s="4">
        <v>0</v>
      </c>
      <c r="N143" s="4">
        <v>0</v>
      </c>
      <c r="O143" s="23">
        <v>0</v>
      </c>
      <c r="P143" s="4">
        <v>0</v>
      </c>
      <c r="Q143" s="4">
        <v>0</v>
      </c>
      <c r="R143" s="4">
        <v>0</v>
      </c>
      <c r="S143" s="4">
        <v>0</v>
      </c>
      <c r="T143" s="23">
        <v>0</v>
      </c>
      <c r="U143" s="39">
        <v>0</v>
      </c>
      <c r="V143" s="39">
        <v>0</v>
      </c>
      <c r="W143" s="39">
        <v>0</v>
      </c>
      <c r="X143" s="39">
        <v>0</v>
      </c>
      <c r="Y143" s="23">
        <v>0</v>
      </c>
      <c r="Z143" s="39">
        <v>0</v>
      </c>
      <c r="AA143" s="39">
        <v>0</v>
      </c>
      <c r="AB143" s="39">
        <v>0</v>
      </c>
      <c r="AC143" s="39">
        <v>0</v>
      </c>
      <c r="AD143" s="4">
        <v>0</v>
      </c>
      <c r="AE143" s="4">
        <v>0</v>
      </c>
      <c r="AF143" s="4">
        <v>0</v>
      </c>
      <c r="AG143" s="4">
        <v>0</v>
      </c>
      <c r="AH143" s="4">
        <v>0</v>
      </c>
      <c r="AI143" s="4">
        <v>0</v>
      </c>
      <c r="AJ143" s="23">
        <v>0</v>
      </c>
      <c r="AK143" s="39">
        <v>0</v>
      </c>
      <c r="AL143" s="39">
        <v>0</v>
      </c>
      <c r="AM143" s="39">
        <v>0</v>
      </c>
      <c r="AN143" s="39">
        <v>0</v>
      </c>
      <c r="AO143" s="4">
        <v>0</v>
      </c>
      <c r="AP143" s="23">
        <v>0</v>
      </c>
      <c r="AQ143" s="4">
        <v>0</v>
      </c>
      <c r="AR143" s="4">
        <v>0</v>
      </c>
      <c r="AS143" s="4">
        <v>0</v>
      </c>
      <c r="AT143" s="4">
        <v>0</v>
      </c>
      <c r="AU143" s="4">
        <v>0</v>
      </c>
      <c r="AV143" s="23">
        <v>0</v>
      </c>
      <c r="AW143" s="4">
        <v>0</v>
      </c>
      <c r="AX143" s="4">
        <v>0</v>
      </c>
      <c r="AY143" s="4">
        <v>0</v>
      </c>
      <c r="AZ143" s="4">
        <v>0</v>
      </c>
      <c r="BA143" s="4">
        <v>0</v>
      </c>
      <c r="BB143" s="23">
        <v>0</v>
      </c>
      <c r="BC143" s="4">
        <v>0</v>
      </c>
      <c r="BD143" s="4">
        <v>0</v>
      </c>
      <c r="BE143" s="4">
        <v>0</v>
      </c>
      <c r="BF143" s="4">
        <v>0</v>
      </c>
      <c r="BG143" s="4">
        <v>0</v>
      </c>
      <c r="BH143" s="4">
        <v>0</v>
      </c>
      <c r="BI143" s="23">
        <v>0</v>
      </c>
      <c r="BJ143" s="35">
        <v>0</v>
      </c>
      <c r="BK143" s="4">
        <v>0</v>
      </c>
      <c r="BL143" s="35">
        <v>0</v>
      </c>
      <c r="BM143" s="4">
        <v>0</v>
      </c>
      <c r="BN143" s="4">
        <v>0</v>
      </c>
      <c r="BO143" s="4">
        <v>0</v>
      </c>
      <c r="BP143" s="4">
        <v>0</v>
      </c>
      <c r="BQ143" s="35">
        <v>0</v>
      </c>
      <c r="BR143" s="4">
        <v>0</v>
      </c>
      <c r="BS143" s="35">
        <v>0</v>
      </c>
      <c r="BT143" s="4">
        <v>0</v>
      </c>
      <c r="BU143" s="4">
        <v>0</v>
      </c>
      <c r="BV143" s="4">
        <v>0</v>
      </c>
      <c r="BW143" s="4">
        <v>0</v>
      </c>
      <c r="BX143" s="4">
        <v>0</v>
      </c>
      <c r="BY143" s="4">
        <v>0</v>
      </c>
      <c r="BZ143" s="4">
        <v>0</v>
      </c>
      <c r="CA143" s="4">
        <v>0</v>
      </c>
      <c r="CB143" s="4">
        <v>0</v>
      </c>
      <c r="CC143" s="4">
        <v>0</v>
      </c>
      <c r="CD143" s="4">
        <v>0</v>
      </c>
      <c r="CE143" s="4">
        <v>0</v>
      </c>
      <c r="CF143" s="4">
        <v>0</v>
      </c>
      <c r="CG143" s="4">
        <v>0</v>
      </c>
      <c r="CH143" s="4">
        <v>0</v>
      </c>
      <c r="CI143" s="4">
        <v>0</v>
      </c>
      <c r="CJ143" s="35">
        <v>0</v>
      </c>
      <c r="CK143" s="4">
        <v>0</v>
      </c>
      <c r="CL143" s="35">
        <v>0</v>
      </c>
      <c r="CM143" s="4">
        <v>0</v>
      </c>
      <c r="CN143" s="4">
        <v>0</v>
      </c>
      <c r="CO143" s="4">
        <v>0</v>
      </c>
      <c r="CP143" s="4">
        <v>0</v>
      </c>
      <c r="CQ143" s="4">
        <v>0</v>
      </c>
      <c r="CR143" s="4">
        <v>0</v>
      </c>
      <c r="CS143" s="4">
        <v>0</v>
      </c>
    </row>
    <row r="144" spans="1:97" x14ac:dyDescent="0.25">
      <c r="A144" t="s">
        <v>115</v>
      </c>
      <c r="C144" s="23">
        <v>0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  <c r="L144" s="23">
        <v>0</v>
      </c>
      <c r="M144" s="4">
        <v>0</v>
      </c>
      <c r="N144" s="4">
        <v>0</v>
      </c>
      <c r="O144" s="23">
        <v>0</v>
      </c>
      <c r="P144" s="4">
        <v>0</v>
      </c>
      <c r="Q144" s="4">
        <v>-963585.15</v>
      </c>
      <c r="R144" s="4">
        <v>-963585.15</v>
      </c>
      <c r="S144" s="4">
        <v>-963585.15</v>
      </c>
      <c r="T144" s="23">
        <v>-963585.15</v>
      </c>
      <c r="U144" s="39">
        <v>-963585.15</v>
      </c>
      <c r="V144" s="39">
        <v>-963585.15</v>
      </c>
      <c r="W144" s="39">
        <v>-963585.15</v>
      </c>
      <c r="X144" s="39">
        <v>-963585.15</v>
      </c>
      <c r="Y144" s="23">
        <v>-963585.15</v>
      </c>
      <c r="Z144" s="39">
        <v>-963585.15</v>
      </c>
      <c r="AA144" s="39">
        <v>-963585.15</v>
      </c>
      <c r="AB144" s="39">
        <v>-963585.15</v>
      </c>
      <c r="AC144" s="39">
        <v>-963585.15</v>
      </c>
      <c r="AD144" s="4">
        <v>-963585.15</v>
      </c>
      <c r="AE144" s="4">
        <v>-963585.15</v>
      </c>
      <c r="AF144" s="4">
        <v>0</v>
      </c>
      <c r="AG144" s="4">
        <v>0</v>
      </c>
      <c r="AH144" s="4">
        <v>0</v>
      </c>
      <c r="AI144" s="4">
        <v>0</v>
      </c>
      <c r="AJ144" s="23">
        <v>0</v>
      </c>
      <c r="AK144" s="39">
        <v>0</v>
      </c>
      <c r="AL144" s="39">
        <v>0</v>
      </c>
      <c r="AM144" s="39">
        <v>0</v>
      </c>
      <c r="AN144" s="39">
        <v>0</v>
      </c>
      <c r="AO144" s="4">
        <v>0</v>
      </c>
      <c r="AP144" s="23">
        <v>0</v>
      </c>
      <c r="AQ144" s="4">
        <v>0</v>
      </c>
      <c r="AR144" s="4">
        <v>0</v>
      </c>
      <c r="AS144" s="4">
        <v>0</v>
      </c>
      <c r="AT144" s="4">
        <v>0</v>
      </c>
      <c r="AU144" s="4">
        <v>0</v>
      </c>
      <c r="AV144" s="23">
        <v>0</v>
      </c>
      <c r="AW144" s="4">
        <v>0</v>
      </c>
      <c r="AX144" s="4">
        <v>0</v>
      </c>
      <c r="AY144" s="4">
        <v>0</v>
      </c>
      <c r="AZ144" s="4">
        <v>0</v>
      </c>
      <c r="BA144" s="4">
        <v>0</v>
      </c>
      <c r="BB144" s="23">
        <v>0</v>
      </c>
      <c r="BC144" s="4">
        <v>0</v>
      </c>
      <c r="BD144" s="4">
        <v>0</v>
      </c>
      <c r="BE144" s="4">
        <v>0</v>
      </c>
      <c r="BF144" s="4">
        <v>0</v>
      </c>
      <c r="BG144" s="4">
        <v>-986144.33</v>
      </c>
      <c r="BH144" s="4">
        <v>-986144.33</v>
      </c>
      <c r="BI144" s="23">
        <v>-986144.33</v>
      </c>
      <c r="BJ144" s="35">
        <v>-986144.33</v>
      </c>
      <c r="BK144" s="4">
        <v>-986144.33</v>
      </c>
      <c r="BL144" s="35">
        <v>-986144.33</v>
      </c>
      <c r="BM144" s="4">
        <v>-986144.33</v>
      </c>
      <c r="BN144" s="4">
        <v>-986144.33</v>
      </c>
      <c r="BO144" s="4">
        <v>-986144.33</v>
      </c>
      <c r="BP144" s="4">
        <v>-986144.33</v>
      </c>
      <c r="BQ144" s="35">
        <v>-986144.33</v>
      </c>
      <c r="BR144" s="4">
        <v>-986144.33</v>
      </c>
      <c r="BS144" s="35">
        <v>-986144.33</v>
      </c>
      <c r="BT144" s="4">
        <v>-986144.33</v>
      </c>
      <c r="BU144" s="4">
        <v>-986144.33</v>
      </c>
      <c r="BV144" s="4">
        <v>-986144.33</v>
      </c>
      <c r="BW144" s="4">
        <v>-986144.33</v>
      </c>
      <c r="BX144" s="4">
        <v>-986144.33</v>
      </c>
      <c r="BY144" s="4">
        <v>-986144.33</v>
      </c>
      <c r="BZ144" s="4">
        <v>-986144.33</v>
      </c>
      <c r="CA144" s="4">
        <v>-986144.33</v>
      </c>
      <c r="CB144" s="4">
        <v>-986144.33</v>
      </c>
      <c r="CC144" s="4">
        <v>-986144.33</v>
      </c>
      <c r="CD144" s="4">
        <v>-986144.33</v>
      </c>
      <c r="CE144" s="4">
        <v>-986144.33</v>
      </c>
      <c r="CF144" s="4">
        <v>-986144.33</v>
      </c>
      <c r="CG144" s="4">
        <v>-986144.33</v>
      </c>
      <c r="CH144" s="4">
        <v>-986144.33</v>
      </c>
      <c r="CI144" s="4">
        <v>-986144.33</v>
      </c>
      <c r="CJ144" s="35">
        <v>-986144.33</v>
      </c>
      <c r="CK144" s="4">
        <v>-986144.33</v>
      </c>
      <c r="CL144" s="35">
        <v>-986144.33</v>
      </c>
      <c r="CM144" s="4">
        <v>-986144.33</v>
      </c>
      <c r="CN144" s="4">
        <v>-986144.33</v>
      </c>
      <c r="CO144" s="4">
        <v>-986144.33</v>
      </c>
      <c r="CP144" s="4">
        <v>-986144.33</v>
      </c>
      <c r="CQ144" s="4">
        <v>-986144.33</v>
      </c>
      <c r="CR144" s="4">
        <v>-986144.33</v>
      </c>
      <c r="CS144" s="4">
        <v>-986144.33</v>
      </c>
    </row>
    <row r="145" spans="1:97" x14ac:dyDescent="0.25">
      <c r="A145" t="s">
        <v>116</v>
      </c>
      <c r="C145" s="23">
        <v>0</v>
      </c>
      <c r="D145" s="4">
        <v>0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  <c r="L145" s="23">
        <v>0</v>
      </c>
      <c r="M145" s="4">
        <v>0</v>
      </c>
      <c r="N145" s="4">
        <v>0</v>
      </c>
      <c r="O145" s="23">
        <v>0</v>
      </c>
      <c r="P145" s="4">
        <v>0</v>
      </c>
      <c r="Q145" s="4">
        <v>0</v>
      </c>
      <c r="R145" s="4">
        <v>0</v>
      </c>
      <c r="S145" s="4">
        <v>0</v>
      </c>
      <c r="T145" s="23">
        <v>0</v>
      </c>
      <c r="U145" s="39">
        <v>0</v>
      </c>
      <c r="V145" s="39">
        <v>0</v>
      </c>
      <c r="W145" s="39">
        <v>0</v>
      </c>
      <c r="X145" s="39">
        <v>0</v>
      </c>
      <c r="Y145" s="23">
        <v>0</v>
      </c>
      <c r="Z145" s="39">
        <v>0</v>
      </c>
      <c r="AA145" s="39">
        <v>0</v>
      </c>
      <c r="AB145" s="39">
        <v>0</v>
      </c>
      <c r="AC145" s="39">
        <v>0</v>
      </c>
      <c r="AD145" s="43">
        <v>0</v>
      </c>
      <c r="AE145" s="4">
        <v>0</v>
      </c>
      <c r="AF145" s="4">
        <v>0</v>
      </c>
      <c r="AG145" s="4">
        <v>0</v>
      </c>
      <c r="AH145" s="4">
        <v>0</v>
      </c>
      <c r="AI145" s="4">
        <v>0</v>
      </c>
      <c r="AJ145" s="23">
        <v>0</v>
      </c>
      <c r="AK145" s="39">
        <v>0</v>
      </c>
      <c r="AL145" s="39">
        <v>0</v>
      </c>
      <c r="AM145" s="39">
        <v>0</v>
      </c>
      <c r="AN145" s="39">
        <v>0</v>
      </c>
      <c r="AO145" s="4">
        <v>0</v>
      </c>
      <c r="AP145" s="23">
        <v>0</v>
      </c>
      <c r="AQ145" s="4">
        <v>0</v>
      </c>
      <c r="AR145" s="4">
        <v>0</v>
      </c>
      <c r="AS145" s="4">
        <v>0</v>
      </c>
      <c r="AT145" s="4">
        <v>0</v>
      </c>
      <c r="AU145" s="4">
        <v>0</v>
      </c>
      <c r="AV145" s="23">
        <v>0</v>
      </c>
      <c r="AW145" s="4">
        <v>0</v>
      </c>
      <c r="AX145" s="4">
        <v>0</v>
      </c>
      <c r="AY145" s="4">
        <v>0</v>
      </c>
      <c r="AZ145" s="4">
        <v>0</v>
      </c>
      <c r="BA145" s="4">
        <v>0</v>
      </c>
      <c r="BB145" s="23">
        <v>0</v>
      </c>
      <c r="BC145" s="4">
        <v>0</v>
      </c>
      <c r="BD145" s="4">
        <v>0</v>
      </c>
      <c r="BE145" s="4">
        <v>0</v>
      </c>
      <c r="BF145" s="43">
        <v>0</v>
      </c>
      <c r="BG145" s="4">
        <v>0</v>
      </c>
      <c r="BH145" s="4">
        <v>0</v>
      </c>
      <c r="BI145" s="23">
        <v>0</v>
      </c>
      <c r="BJ145" s="35">
        <v>0</v>
      </c>
      <c r="BK145" s="4">
        <v>0</v>
      </c>
      <c r="BL145" s="35">
        <v>0</v>
      </c>
      <c r="BM145" s="4">
        <v>0</v>
      </c>
      <c r="BN145" s="4">
        <v>0</v>
      </c>
      <c r="BO145" s="4">
        <v>0</v>
      </c>
      <c r="BP145" s="4">
        <v>0</v>
      </c>
      <c r="BQ145" s="35">
        <v>0</v>
      </c>
      <c r="BR145" s="4">
        <v>0</v>
      </c>
      <c r="BS145" s="35">
        <v>0</v>
      </c>
      <c r="BT145" s="4">
        <v>0</v>
      </c>
      <c r="BU145" s="4">
        <v>0</v>
      </c>
      <c r="BV145" s="4">
        <v>0</v>
      </c>
      <c r="BW145" s="4">
        <v>0</v>
      </c>
      <c r="BX145" s="4">
        <v>0</v>
      </c>
      <c r="BY145" s="4">
        <v>0</v>
      </c>
      <c r="BZ145" s="4">
        <v>0</v>
      </c>
      <c r="CA145" s="4">
        <v>0</v>
      </c>
      <c r="CB145" s="4">
        <v>0</v>
      </c>
      <c r="CC145" s="4">
        <v>0</v>
      </c>
      <c r="CD145" s="4">
        <v>0</v>
      </c>
      <c r="CE145" s="4">
        <v>0</v>
      </c>
      <c r="CF145" s="4">
        <v>0</v>
      </c>
      <c r="CG145" s="4">
        <v>0</v>
      </c>
      <c r="CH145" s="4">
        <v>0</v>
      </c>
      <c r="CI145" s="4">
        <v>0</v>
      </c>
      <c r="CJ145" s="35">
        <v>0</v>
      </c>
      <c r="CK145" s="4">
        <v>0</v>
      </c>
      <c r="CL145" s="35">
        <v>0</v>
      </c>
      <c r="CM145" s="4">
        <v>0</v>
      </c>
      <c r="CN145" s="4">
        <v>0</v>
      </c>
      <c r="CO145" s="4">
        <v>0</v>
      </c>
      <c r="CP145" s="4">
        <v>0</v>
      </c>
      <c r="CQ145" s="4">
        <v>0</v>
      </c>
      <c r="CR145" s="4">
        <v>0</v>
      </c>
      <c r="CS145" s="4">
        <v>0</v>
      </c>
    </row>
    <row r="146" spans="1:97" x14ac:dyDescent="0.25">
      <c r="A146" t="s">
        <v>117</v>
      </c>
      <c r="C146" s="23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  <c r="J146" s="4">
        <v>0</v>
      </c>
      <c r="K146" s="4">
        <v>0</v>
      </c>
      <c r="L146" s="23">
        <v>0</v>
      </c>
      <c r="M146" s="4">
        <v>0</v>
      </c>
      <c r="N146" s="4">
        <v>0</v>
      </c>
      <c r="O146" s="23">
        <v>0</v>
      </c>
      <c r="P146" s="4">
        <v>0</v>
      </c>
      <c r="Q146" s="4">
        <v>0</v>
      </c>
      <c r="R146" s="4">
        <v>0</v>
      </c>
      <c r="S146" s="4">
        <v>0</v>
      </c>
      <c r="T146" s="23">
        <v>0</v>
      </c>
      <c r="U146" s="39">
        <v>0</v>
      </c>
      <c r="V146" s="39">
        <v>0</v>
      </c>
      <c r="W146" s="39">
        <v>0</v>
      </c>
      <c r="X146" s="39">
        <v>0</v>
      </c>
      <c r="Y146" s="23">
        <v>0</v>
      </c>
      <c r="Z146" s="39">
        <v>0</v>
      </c>
      <c r="AA146" s="39">
        <v>0</v>
      </c>
      <c r="AB146" s="39">
        <v>0</v>
      </c>
      <c r="AC146" s="39">
        <v>0</v>
      </c>
      <c r="AD146" s="43">
        <v>0</v>
      </c>
      <c r="AE146" s="4">
        <v>0</v>
      </c>
      <c r="AF146" s="4">
        <v>-1937173.4403357196</v>
      </c>
      <c r="AG146" s="4">
        <v>-1937173.4403357196</v>
      </c>
      <c r="AH146" s="4">
        <v>-1937173.4403357196</v>
      </c>
      <c r="AI146" s="4">
        <v>-1937173.4403357196</v>
      </c>
      <c r="AJ146" s="23">
        <v>-1937173.4403357196</v>
      </c>
      <c r="AK146" s="39">
        <v>-1937173.4403357196</v>
      </c>
      <c r="AL146" s="39">
        <v>-1937173.4403357196</v>
      </c>
      <c r="AM146" s="39">
        <v>-1937173.4403357196</v>
      </c>
      <c r="AN146" s="39">
        <v>-1937173.4403357196</v>
      </c>
      <c r="AO146" s="4">
        <v>-1937173.4403357196</v>
      </c>
      <c r="AP146" s="23">
        <v>-1937173.4403357196</v>
      </c>
      <c r="AQ146" s="4">
        <v>-1937173.4403357196</v>
      </c>
      <c r="AR146" s="4">
        <v>-1937173.4403357196</v>
      </c>
      <c r="AS146" s="4">
        <v>-1937173.4403357196</v>
      </c>
      <c r="AT146" s="4">
        <v>-1937173.4403357196</v>
      </c>
      <c r="AU146" s="4">
        <v>-1937173.4403357196</v>
      </c>
      <c r="AV146" s="23">
        <v>-1937173.4403357196</v>
      </c>
      <c r="AW146" s="4">
        <v>-1937173.4403357196</v>
      </c>
      <c r="AX146" s="4">
        <v>-1937173.4403357196</v>
      </c>
      <c r="AY146" s="4">
        <v>-1937173.4403357196</v>
      </c>
      <c r="AZ146" s="4">
        <v>-1937173.4403357196</v>
      </c>
      <c r="BA146" s="4">
        <v>-1937173.4403357196</v>
      </c>
      <c r="BB146" s="23">
        <v>-1937173.4403357196</v>
      </c>
      <c r="BC146" s="4">
        <v>-1937173.4403357196</v>
      </c>
      <c r="BD146" s="4">
        <v>-1937173.4403357196</v>
      </c>
      <c r="BE146" s="4">
        <v>-1937173.4403357196</v>
      </c>
      <c r="BF146" s="43">
        <v>-1937173.4403357196</v>
      </c>
      <c r="BG146" s="4">
        <v>0</v>
      </c>
      <c r="BH146" s="4">
        <v>0</v>
      </c>
      <c r="BI146" s="23">
        <v>0</v>
      </c>
      <c r="BJ146" s="35">
        <v>0</v>
      </c>
      <c r="BK146" s="4">
        <v>0</v>
      </c>
      <c r="BL146" s="35">
        <v>0</v>
      </c>
      <c r="BM146" s="4">
        <v>0</v>
      </c>
      <c r="BN146" s="4">
        <v>0</v>
      </c>
      <c r="BO146" s="4">
        <v>0</v>
      </c>
      <c r="BP146" s="4">
        <v>0</v>
      </c>
      <c r="BQ146" s="35">
        <v>0</v>
      </c>
      <c r="BR146" s="4">
        <v>0</v>
      </c>
      <c r="BS146" s="35">
        <v>0</v>
      </c>
      <c r="BT146" s="4">
        <v>0</v>
      </c>
      <c r="BU146" s="4">
        <v>0</v>
      </c>
      <c r="BV146" s="4">
        <v>0</v>
      </c>
      <c r="BW146" s="4">
        <v>0</v>
      </c>
      <c r="BX146" s="4">
        <v>0</v>
      </c>
      <c r="BY146" s="4">
        <v>0</v>
      </c>
      <c r="BZ146" s="4">
        <v>0</v>
      </c>
      <c r="CA146" s="4">
        <v>0</v>
      </c>
      <c r="CB146" s="4">
        <v>0</v>
      </c>
      <c r="CC146" s="4">
        <v>0</v>
      </c>
      <c r="CD146" s="4">
        <v>0</v>
      </c>
      <c r="CE146" s="4">
        <v>0</v>
      </c>
      <c r="CF146" s="4">
        <v>0</v>
      </c>
      <c r="CG146" s="4">
        <v>0</v>
      </c>
      <c r="CH146" s="4">
        <v>0</v>
      </c>
      <c r="CI146" s="4">
        <v>0</v>
      </c>
      <c r="CJ146" s="35">
        <v>0</v>
      </c>
      <c r="CK146" s="4">
        <v>0</v>
      </c>
      <c r="CL146" s="35">
        <v>0</v>
      </c>
      <c r="CM146" s="4">
        <v>0</v>
      </c>
      <c r="CN146" s="4">
        <v>0</v>
      </c>
      <c r="CO146" s="4">
        <v>0</v>
      </c>
      <c r="CP146" s="4">
        <v>0</v>
      </c>
      <c r="CQ146" s="4">
        <v>0</v>
      </c>
      <c r="CR146" s="4">
        <v>0</v>
      </c>
      <c r="CS146" s="4">
        <v>0</v>
      </c>
    </row>
    <row r="147" spans="1:97" x14ac:dyDescent="0.25">
      <c r="A147" t="s">
        <v>154</v>
      </c>
      <c r="C147" s="23">
        <v>-84957104.168333322</v>
      </c>
      <c r="D147" s="4">
        <v>-84957104.168333322</v>
      </c>
      <c r="E147" s="4">
        <v>-84957104.168333322</v>
      </c>
      <c r="F147" s="4">
        <v>-84957104.168333322</v>
      </c>
      <c r="G147" s="4">
        <v>-84957104.168333322</v>
      </c>
      <c r="H147" s="4">
        <v>-84957104.168333322</v>
      </c>
      <c r="I147" s="4">
        <v>-84957104.168333322</v>
      </c>
      <c r="J147" s="4">
        <v>-84957104.168333322</v>
      </c>
      <c r="K147" s="4">
        <v>-84957104.168333322</v>
      </c>
      <c r="L147" s="23">
        <v>-84957104.168333322</v>
      </c>
      <c r="M147" s="4">
        <v>-84957104.168333322</v>
      </c>
      <c r="N147" s="4">
        <v>-84957104.168333322</v>
      </c>
      <c r="O147" s="23">
        <v>-84957104.168333322</v>
      </c>
      <c r="P147" s="4">
        <v>-84957104.168333322</v>
      </c>
      <c r="Q147" s="4">
        <v>-85985360.366666675</v>
      </c>
      <c r="R147" s="4">
        <v>-85985360.366666675</v>
      </c>
      <c r="S147" s="4">
        <v>-85985360.366666675</v>
      </c>
      <c r="T147" s="23">
        <v>-85985360.366666675</v>
      </c>
      <c r="U147" s="39">
        <v>-85985360.366666675</v>
      </c>
      <c r="V147" s="39">
        <v>-85985360.366666675</v>
      </c>
      <c r="W147" s="39">
        <v>-85985360.366666675</v>
      </c>
      <c r="X147" s="39">
        <v>-85985360.366666675</v>
      </c>
      <c r="Y147" s="23">
        <v>-85985360.366666675</v>
      </c>
      <c r="Z147" s="39">
        <v>-85985360.366666675</v>
      </c>
      <c r="AA147" s="39">
        <v>-85985360.366666675</v>
      </c>
      <c r="AB147" s="39">
        <v>-85985360.366666675</v>
      </c>
      <c r="AC147" s="39">
        <v>-85985360.366666675</v>
      </c>
      <c r="AD147" s="4">
        <v>-85985360.366666675</v>
      </c>
      <c r="AE147" s="4">
        <v>-85985360.366666675</v>
      </c>
      <c r="AF147" s="4">
        <v>-86704152.729999989</v>
      </c>
      <c r="AG147" s="4">
        <v>-86704152.729999989</v>
      </c>
      <c r="AH147" s="4">
        <v>-86704152.729999989</v>
      </c>
      <c r="AI147" s="4">
        <v>-86704152.729999989</v>
      </c>
      <c r="AJ147" s="23">
        <v>-86704152.729999989</v>
      </c>
      <c r="AK147" s="39">
        <v>-86704152.729999989</v>
      </c>
      <c r="AL147" s="39">
        <v>-86704152.729999989</v>
      </c>
      <c r="AM147" s="39">
        <v>-86704152.729999989</v>
      </c>
      <c r="AN147" s="39">
        <v>-86704152.729999989</v>
      </c>
      <c r="AO147" s="4">
        <v>-86704152.729999989</v>
      </c>
      <c r="AP147" s="23">
        <v>-86704152.729999989</v>
      </c>
      <c r="AQ147" s="4">
        <v>-86704152.729999989</v>
      </c>
      <c r="AR147" s="4">
        <v>-86704152.729999989</v>
      </c>
      <c r="AS147" s="4">
        <v>-86704152.729999989</v>
      </c>
      <c r="AT147" s="4">
        <v>-86704152.729999989</v>
      </c>
      <c r="AU147" s="4">
        <v>-86704152.729999989</v>
      </c>
      <c r="AV147" s="23">
        <v>-86704152.729999989</v>
      </c>
      <c r="AW147" s="4">
        <v>-86704152.729999989</v>
      </c>
      <c r="AX147" s="4">
        <v>-86704152.729999989</v>
      </c>
      <c r="AY147" s="4">
        <v>-86704152.729999989</v>
      </c>
      <c r="AZ147" s="4">
        <v>-86704152.729999989</v>
      </c>
      <c r="BA147" s="4">
        <v>-86704152.729999989</v>
      </c>
      <c r="BB147" s="23">
        <v>-86704152.729999989</v>
      </c>
      <c r="BC147" s="4">
        <v>-86704152.729999989</v>
      </c>
      <c r="BD147" s="4">
        <v>-86704152.729999989</v>
      </c>
      <c r="BE147" s="4">
        <v>-86704152.729999989</v>
      </c>
      <c r="BF147" s="4">
        <v>-86704152.729999989</v>
      </c>
      <c r="BG147" s="4">
        <v>-87113389.293333322</v>
      </c>
      <c r="BH147" s="4">
        <v>-87113389.293333322</v>
      </c>
      <c r="BI147" s="23">
        <v>-87113389.293333322</v>
      </c>
      <c r="BJ147" s="35">
        <v>-87113389.293333322</v>
      </c>
      <c r="BK147" s="4">
        <v>-87113389.293333322</v>
      </c>
      <c r="BL147" s="35">
        <v>-87113389.293333322</v>
      </c>
      <c r="BM147" s="4">
        <v>-87113389.293333322</v>
      </c>
      <c r="BN147" s="4">
        <v>-87113389.293333322</v>
      </c>
      <c r="BO147" s="4">
        <v>-87113389.293333322</v>
      </c>
      <c r="BP147" s="4">
        <v>-87113389.293333322</v>
      </c>
      <c r="BQ147" s="35">
        <v>-87113389.293333322</v>
      </c>
      <c r="BR147" s="4">
        <v>-87113389.293333322</v>
      </c>
      <c r="BS147" s="35">
        <v>-87113389.293333322</v>
      </c>
      <c r="BT147" s="4">
        <v>-87113389.293333322</v>
      </c>
      <c r="BU147" s="4">
        <v>-87113389.293333322</v>
      </c>
      <c r="BV147" s="4">
        <v>-87113389.293333322</v>
      </c>
      <c r="BW147" s="4">
        <v>-87113389.293333322</v>
      </c>
      <c r="BX147" s="4">
        <v>-87113389.293333322</v>
      </c>
      <c r="BY147" s="4">
        <v>-87113389.293333322</v>
      </c>
      <c r="BZ147" s="4">
        <v>-87113389.293333322</v>
      </c>
      <c r="CA147" s="4">
        <v>-87113389.293333322</v>
      </c>
      <c r="CB147" s="4">
        <v>-87113389.293333322</v>
      </c>
      <c r="CC147" s="4">
        <v>-87113389.293333322</v>
      </c>
      <c r="CD147" s="4">
        <v>-87113389.293333322</v>
      </c>
      <c r="CE147" s="4">
        <v>-87113389.293333322</v>
      </c>
      <c r="CF147" s="4">
        <v>-87113389.293333322</v>
      </c>
      <c r="CG147" s="4">
        <v>-87113389.293333322</v>
      </c>
      <c r="CH147" s="4">
        <v>-87113389.293333322</v>
      </c>
      <c r="CI147" s="4">
        <v>-87113389.293333322</v>
      </c>
      <c r="CJ147" s="35">
        <v>-87113389.293333322</v>
      </c>
      <c r="CK147" s="4">
        <v>-87113389.293333322</v>
      </c>
      <c r="CL147" s="35">
        <v>-87113389.293333322</v>
      </c>
      <c r="CM147" s="4">
        <v>-87113389.293333322</v>
      </c>
      <c r="CN147" s="4">
        <v>-87113389.293333322</v>
      </c>
      <c r="CO147" s="4">
        <v>-87113389.293333322</v>
      </c>
      <c r="CP147" s="4">
        <v>-87113389.293333322</v>
      </c>
      <c r="CQ147" s="4">
        <v>-87113389.293333322</v>
      </c>
      <c r="CR147" s="4">
        <v>-87113389.293333322</v>
      </c>
      <c r="CS147" s="4">
        <v>-87113389.293333322</v>
      </c>
    </row>
    <row r="148" spans="1:97" x14ac:dyDescent="0.25">
      <c r="A148" t="s">
        <v>155</v>
      </c>
      <c r="C148" s="23">
        <v>-1765968.8416666666</v>
      </c>
      <c r="D148" s="4">
        <v>-1765968.8416666666</v>
      </c>
      <c r="E148" s="4">
        <v>-1765968.8416666666</v>
      </c>
      <c r="F148" s="4">
        <v>-1765968.8416666666</v>
      </c>
      <c r="G148" s="4">
        <v>-1765968.8416666666</v>
      </c>
      <c r="H148" s="4">
        <v>-1765968.8416666666</v>
      </c>
      <c r="I148" s="4">
        <v>-1765968.8416666666</v>
      </c>
      <c r="J148" s="4">
        <v>-1765968.8416666666</v>
      </c>
      <c r="K148" s="4">
        <v>-1765968.8416666666</v>
      </c>
      <c r="L148" s="23">
        <v>-1765968.8416666666</v>
      </c>
      <c r="M148" s="4">
        <v>-1765968.8416666666</v>
      </c>
      <c r="N148" s="4">
        <v>-1765968.8416666666</v>
      </c>
      <c r="O148" s="23">
        <v>-1765968.8416666666</v>
      </c>
      <c r="P148" s="4">
        <v>-1765968.8416666666</v>
      </c>
      <c r="Q148" s="4">
        <v>-3943001.2033333322</v>
      </c>
      <c r="R148" s="4">
        <v>-3943001.2033333322</v>
      </c>
      <c r="S148" s="4">
        <v>-3943001.2033333322</v>
      </c>
      <c r="T148" s="23">
        <v>-3943001.2033333322</v>
      </c>
      <c r="U148" s="39">
        <v>-3943001.2033333322</v>
      </c>
      <c r="V148" s="39">
        <v>-3943001.2033333322</v>
      </c>
      <c r="W148" s="39">
        <v>-3943001.2033333322</v>
      </c>
      <c r="X148" s="39">
        <v>-3943001.2033333322</v>
      </c>
      <c r="Y148" s="23">
        <v>-3943001.2033333322</v>
      </c>
      <c r="Z148" s="39">
        <v>-3943001.2033333322</v>
      </c>
      <c r="AA148" s="39">
        <v>-3943001.2033333322</v>
      </c>
      <c r="AB148" s="39">
        <v>-3943001.2033333322</v>
      </c>
      <c r="AC148" s="39">
        <v>-3943001.2033333322</v>
      </c>
      <c r="AD148" s="4">
        <v>-3943001.2033333322</v>
      </c>
      <c r="AE148" s="4">
        <v>-3943001.2033333322</v>
      </c>
      <c r="AF148" s="4">
        <v>-4299916.419999999</v>
      </c>
      <c r="AG148" s="4">
        <v>-4299916.419999999</v>
      </c>
      <c r="AH148" s="4">
        <v>-4299916.419999999</v>
      </c>
      <c r="AI148" s="4">
        <v>-4299916.419999999</v>
      </c>
      <c r="AJ148" s="23">
        <v>-4299916.419999999</v>
      </c>
      <c r="AK148" s="39">
        <v>-4299916.419999999</v>
      </c>
      <c r="AL148" s="39">
        <v>-4299916.419999999</v>
      </c>
      <c r="AM148" s="39">
        <v>-4299916.419999999</v>
      </c>
      <c r="AN148" s="39">
        <v>-4299916.419999999</v>
      </c>
      <c r="AO148" s="4">
        <v>-4299916.419999999</v>
      </c>
      <c r="AP148" s="23">
        <v>-4299916.419999999</v>
      </c>
      <c r="AQ148" s="4">
        <v>-4299916.419999999</v>
      </c>
      <c r="AR148" s="4">
        <v>-4299916.419999999</v>
      </c>
      <c r="AS148" s="4">
        <v>-4299916.419999999</v>
      </c>
      <c r="AT148" s="4">
        <v>-4299916.419999999</v>
      </c>
      <c r="AU148" s="4">
        <v>-4299916.419999999</v>
      </c>
      <c r="AV148" s="23">
        <v>-4299916.419999999</v>
      </c>
      <c r="AW148" s="4">
        <v>-4299916.419999999</v>
      </c>
      <c r="AX148" s="4">
        <v>-4299916.419999999</v>
      </c>
      <c r="AY148" s="4">
        <v>-4299916.419999999</v>
      </c>
      <c r="AZ148" s="4">
        <v>-4299916.419999999</v>
      </c>
      <c r="BA148" s="4">
        <v>-4299916.419999999</v>
      </c>
      <c r="BB148" s="23">
        <v>-4299916.419999999</v>
      </c>
      <c r="BC148" s="4">
        <v>-4299916.419999999</v>
      </c>
      <c r="BD148" s="4">
        <v>-4299916.419999999</v>
      </c>
      <c r="BE148" s="4">
        <v>-4299916.419999999</v>
      </c>
      <c r="BF148" s="4">
        <v>-4299916.419999999</v>
      </c>
      <c r="BG148" s="4">
        <v>-5111767.9400000004</v>
      </c>
      <c r="BH148" s="4">
        <v>-5111767.9400000004</v>
      </c>
      <c r="BI148" s="23">
        <v>-5111767.9400000004</v>
      </c>
      <c r="BJ148" s="35">
        <v>-5111767.9400000004</v>
      </c>
      <c r="BK148" s="4">
        <v>-5111767.9400000004</v>
      </c>
      <c r="BL148" s="35">
        <v>-5111767.9400000004</v>
      </c>
      <c r="BM148" s="4">
        <v>-5111767.9400000004</v>
      </c>
      <c r="BN148" s="4">
        <v>-5111767.9400000004</v>
      </c>
      <c r="BO148" s="4">
        <v>-5111767.9400000004</v>
      </c>
      <c r="BP148" s="4">
        <v>-5111767.9400000004</v>
      </c>
      <c r="BQ148" s="35">
        <v>-5111767.9400000004</v>
      </c>
      <c r="BR148" s="4">
        <v>-5111767.9400000004</v>
      </c>
      <c r="BS148" s="35">
        <v>-5111767.9400000004</v>
      </c>
      <c r="BT148" s="4">
        <v>-5111767.9400000004</v>
      </c>
      <c r="BU148" s="4">
        <v>-5111767.9400000004</v>
      </c>
      <c r="BV148" s="4">
        <v>-5111767.9400000004</v>
      </c>
      <c r="BW148" s="4">
        <v>-5111767.9400000004</v>
      </c>
      <c r="BX148" s="4">
        <v>-5111767.9400000004</v>
      </c>
      <c r="BY148" s="4">
        <v>-5111767.9400000004</v>
      </c>
      <c r="BZ148" s="4">
        <v>-5111767.9400000004</v>
      </c>
      <c r="CA148" s="4">
        <v>-5111767.9400000004</v>
      </c>
      <c r="CB148" s="4">
        <v>-5111767.9400000004</v>
      </c>
      <c r="CC148" s="4">
        <v>-5111767.9400000004</v>
      </c>
      <c r="CD148" s="4">
        <v>-5111767.9400000004</v>
      </c>
      <c r="CE148" s="4">
        <v>-5111767.9400000004</v>
      </c>
      <c r="CF148" s="4">
        <v>-5111767.9400000004</v>
      </c>
      <c r="CG148" s="4">
        <v>-5111767.9400000004</v>
      </c>
      <c r="CH148" s="4">
        <v>-5111767.9400000004</v>
      </c>
      <c r="CI148" s="4">
        <v>-5111767.9400000004</v>
      </c>
      <c r="CJ148" s="35">
        <v>-5111767.9400000004</v>
      </c>
      <c r="CK148" s="4">
        <v>-5111767.9400000004</v>
      </c>
      <c r="CL148" s="35">
        <v>-5111767.9400000004</v>
      </c>
      <c r="CM148" s="4">
        <v>-5111767.9400000004</v>
      </c>
      <c r="CN148" s="4">
        <v>-5111767.9400000004</v>
      </c>
      <c r="CO148" s="4">
        <v>-5111767.9400000004</v>
      </c>
      <c r="CP148" s="4">
        <v>-5111767.9400000004</v>
      </c>
      <c r="CQ148" s="4">
        <v>-5111767.9400000004</v>
      </c>
      <c r="CR148" s="4">
        <v>-5111767.9400000004</v>
      </c>
      <c r="CS148" s="4">
        <v>-5111767.9400000004</v>
      </c>
    </row>
    <row r="149" spans="1:97" x14ac:dyDescent="0.25">
      <c r="A149" t="s">
        <v>156</v>
      </c>
      <c r="C149" s="23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  <c r="L149" s="23">
        <v>0</v>
      </c>
      <c r="M149" s="4">
        <v>0</v>
      </c>
      <c r="N149" s="4">
        <v>0</v>
      </c>
      <c r="O149" s="23">
        <v>0</v>
      </c>
      <c r="P149" s="4">
        <v>0</v>
      </c>
      <c r="Q149" s="4">
        <v>0</v>
      </c>
      <c r="R149" s="4">
        <v>0</v>
      </c>
      <c r="S149" s="4">
        <v>0</v>
      </c>
      <c r="T149" s="23">
        <v>0</v>
      </c>
      <c r="U149" s="39">
        <v>0</v>
      </c>
      <c r="V149" s="39">
        <v>0</v>
      </c>
      <c r="W149" s="39">
        <v>0</v>
      </c>
      <c r="X149" s="39">
        <v>0</v>
      </c>
      <c r="Y149" s="23">
        <v>0</v>
      </c>
      <c r="Z149" s="39">
        <v>0</v>
      </c>
      <c r="AA149" s="39">
        <v>0</v>
      </c>
      <c r="AB149" s="39">
        <v>0</v>
      </c>
      <c r="AC149" s="39">
        <v>0</v>
      </c>
      <c r="AD149" s="4">
        <v>0</v>
      </c>
      <c r="AE149" s="4">
        <v>0</v>
      </c>
      <c r="AF149" s="4">
        <v>-16049400</v>
      </c>
      <c r="AG149" s="4">
        <v>-16049400</v>
      </c>
      <c r="AH149" s="4">
        <v>-16049400</v>
      </c>
      <c r="AI149" s="4">
        <v>-16049400</v>
      </c>
      <c r="AJ149" s="23">
        <v>-16049400</v>
      </c>
      <c r="AK149" s="39">
        <v>-16049400</v>
      </c>
      <c r="AL149" s="39">
        <v>-16049400</v>
      </c>
      <c r="AM149" s="39">
        <v>-16049400</v>
      </c>
      <c r="AN149" s="39">
        <v>-16049400</v>
      </c>
      <c r="AO149" s="4">
        <v>-16049400</v>
      </c>
      <c r="AP149" s="23">
        <v>-16049400</v>
      </c>
      <c r="AQ149" s="4">
        <v>-16049400</v>
      </c>
      <c r="AR149" s="4">
        <v>-16049400</v>
      </c>
      <c r="AS149" s="4">
        <v>-16049400</v>
      </c>
      <c r="AT149" s="4">
        <v>-16049400</v>
      </c>
      <c r="AU149" s="4">
        <v>-16049400</v>
      </c>
      <c r="AV149" s="23">
        <v>-16049400</v>
      </c>
      <c r="AW149" s="4">
        <v>-16049400</v>
      </c>
      <c r="AX149" s="4">
        <v>-16049400</v>
      </c>
      <c r="AY149" s="4">
        <v>-16049400</v>
      </c>
      <c r="AZ149" s="4">
        <v>-16049400</v>
      </c>
      <c r="BA149" s="4">
        <v>-16049400</v>
      </c>
      <c r="BB149" s="23">
        <v>-16049400</v>
      </c>
      <c r="BC149" s="4">
        <v>-16049400</v>
      </c>
      <c r="BD149" s="4">
        <v>-16049400</v>
      </c>
      <c r="BE149" s="4">
        <v>-16049400</v>
      </c>
      <c r="BF149" s="4">
        <v>-16049400</v>
      </c>
      <c r="BG149" s="4">
        <v>-164777740.93276501</v>
      </c>
      <c r="BH149" s="4">
        <v>-164777740.93276501</v>
      </c>
      <c r="BI149" s="23">
        <v>-164777740.93276501</v>
      </c>
      <c r="BJ149" s="35">
        <v>-164777740.93276501</v>
      </c>
      <c r="BK149" s="4">
        <v>-164777740.93276501</v>
      </c>
      <c r="BL149" s="35">
        <v>-164777740.93276501</v>
      </c>
      <c r="BM149" s="4">
        <v>-164777740.93276501</v>
      </c>
      <c r="BN149" s="4">
        <v>-164777740.93276501</v>
      </c>
      <c r="BO149" s="4">
        <v>-164777740.93276501</v>
      </c>
      <c r="BP149" s="4">
        <v>-164777740.93276501</v>
      </c>
      <c r="BQ149" s="35">
        <v>-164777740.93276501</v>
      </c>
      <c r="BR149" s="4">
        <v>-164777740.93276501</v>
      </c>
      <c r="BS149" s="35">
        <v>-164777740.93276501</v>
      </c>
      <c r="BT149" s="4">
        <v>-164777740.93276501</v>
      </c>
      <c r="BU149" s="4">
        <v>-164777740.93276501</v>
      </c>
      <c r="BV149" s="4">
        <v>-164777740.93276501</v>
      </c>
      <c r="BW149" s="4">
        <v>-164777740.93276501</v>
      </c>
      <c r="BX149" s="4">
        <v>-164777740.93276501</v>
      </c>
      <c r="BY149" s="4">
        <v>-164777740.93276501</v>
      </c>
      <c r="BZ149" s="4">
        <v>-164777740.93276501</v>
      </c>
      <c r="CA149" s="4">
        <v>-164777740.93276501</v>
      </c>
      <c r="CB149" s="4">
        <v>-164777740.93276501</v>
      </c>
      <c r="CC149" s="4">
        <v>-164777740.93276501</v>
      </c>
      <c r="CD149" s="4">
        <v>-164777740.93276501</v>
      </c>
      <c r="CE149" s="4">
        <v>-164777740.93276501</v>
      </c>
      <c r="CF149" s="4">
        <v>-164777740.93276501</v>
      </c>
      <c r="CG149" s="4">
        <v>-164777740.93276501</v>
      </c>
      <c r="CH149" s="4">
        <v>-164777740.93276501</v>
      </c>
      <c r="CI149" s="4">
        <v>-164777740.93276501</v>
      </c>
      <c r="CJ149" s="35">
        <v>-164777740.93276501</v>
      </c>
      <c r="CK149" s="4">
        <v>-164777740.93276501</v>
      </c>
      <c r="CL149" s="35">
        <v>-164777740.93276501</v>
      </c>
      <c r="CM149" s="4">
        <v>-164777740.93276501</v>
      </c>
      <c r="CN149" s="4">
        <v>-164777740.93276501</v>
      </c>
      <c r="CO149" s="4">
        <v>-164777740.93276501</v>
      </c>
      <c r="CP149" s="4">
        <v>-164777740.93276501</v>
      </c>
      <c r="CQ149" s="4">
        <v>-164777740.93276501</v>
      </c>
      <c r="CR149" s="4">
        <v>-164777740.93276501</v>
      </c>
      <c r="CS149" s="4">
        <v>-164777740.93276501</v>
      </c>
    </row>
    <row r="150" spans="1:97" x14ac:dyDescent="0.25">
      <c r="A150" t="s">
        <v>157</v>
      </c>
      <c r="C150" s="23">
        <v>-51589612.475493103</v>
      </c>
      <c r="D150" s="4">
        <v>-51589612.475493103</v>
      </c>
      <c r="E150" s="4">
        <v>-51589612.475493103</v>
      </c>
      <c r="F150" s="4">
        <v>-51589612.475493103</v>
      </c>
      <c r="G150" s="4">
        <v>-51589612.475493103</v>
      </c>
      <c r="H150" s="4">
        <v>-51589612.475493103</v>
      </c>
      <c r="I150" s="4">
        <v>-51589612.475493103</v>
      </c>
      <c r="J150" s="4">
        <v>-51589612.475493103</v>
      </c>
      <c r="K150" s="4">
        <v>-51589612.475493103</v>
      </c>
      <c r="L150" s="23">
        <v>-51589612.475493103</v>
      </c>
      <c r="M150" s="4">
        <v>-51589612.475493103</v>
      </c>
      <c r="N150" s="4">
        <v>-51589612.475493103</v>
      </c>
      <c r="O150" s="23">
        <v>-51589612.475493103</v>
      </c>
      <c r="P150" s="4">
        <v>-51589612.475493103</v>
      </c>
      <c r="Q150" s="4">
        <v>-89880466.939494729</v>
      </c>
      <c r="R150" s="4">
        <v>-89880466.939494729</v>
      </c>
      <c r="S150" s="4">
        <v>-89880466.939494729</v>
      </c>
      <c r="T150" s="23">
        <v>-89880466.939494729</v>
      </c>
      <c r="U150" s="39">
        <v>-89880466.939494729</v>
      </c>
      <c r="V150" s="39">
        <v>-89880466.939494729</v>
      </c>
      <c r="W150" s="39">
        <v>-89880466.939494729</v>
      </c>
      <c r="X150" s="39">
        <v>-89880466.939494729</v>
      </c>
      <c r="Y150" s="23">
        <v>-89880466.939494729</v>
      </c>
      <c r="Z150" s="39">
        <v>-89880466.939494729</v>
      </c>
      <c r="AA150" s="39">
        <v>-89880466.939494729</v>
      </c>
      <c r="AB150" s="39">
        <v>-89880466.939494729</v>
      </c>
      <c r="AC150" s="39">
        <v>-89880466.939494729</v>
      </c>
      <c r="AD150" s="4">
        <v>-89880466.939494729</v>
      </c>
      <c r="AE150" s="4">
        <v>-89880466.939494729</v>
      </c>
      <c r="AF150" s="4">
        <v>-105006758.37332165</v>
      </c>
      <c r="AG150" s="4">
        <v>-105006758.37332165</v>
      </c>
      <c r="AH150" s="4">
        <v>-105006758.37332165</v>
      </c>
      <c r="AI150" s="4">
        <v>-105006758.37332165</v>
      </c>
      <c r="AJ150" s="23">
        <v>-105006758.37332165</v>
      </c>
      <c r="AK150" s="39">
        <v>-105006758.37332165</v>
      </c>
      <c r="AL150" s="39">
        <v>-105006758.37332165</v>
      </c>
      <c r="AM150" s="39">
        <v>-105006758.37332165</v>
      </c>
      <c r="AN150" s="39">
        <v>-105006758.37332165</v>
      </c>
      <c r="AO150" s="4">
        <v>-105006758.37332165</v>
      </c>
      <c r="AP150" s="23">
        <v>-105006758.37332165</v>
      </c>
      <c r="AQ150" s="4">
        <v>-105006758.37332165</v>
      </c>
      <c r="AR150" s="4">
        <v>-105006758.37332165</v>
      </c>
      <c r="AS150" s="4">
        <v>-105006758.37332165</v>
      </c>
      <c r="AT150" s="4">
        <v>-105006758.37332165</v>
      </c>
      <c r="AU150" s="4">
        <v>-105006758.37332165</v>
      </c>
      <c r="AV150" s="23">
        <v>-105006758.37332165</v>
      </c>
      <c r="AW150" s="4">
        <v>-105006758.37332165</v>
      </c>
      <c r="AX150" s="4">
        <v>-105006758.37332165</v>
      </c>
      <c r="AY150" s="4">
        <v>-105006758.37332165</v>
      </c>
      <c r="AZ150" s="4">
        <v>-105006758.37332165</v>
      </c>
      <c r="BA150" s="4">
        <v>-105006758.37332165</v>
      </c>
      <c r="BB150" s="23">
        <v>-105006758.37332165</v>
      </c>
      <c r="BC150" s="4">
        <v>-105006758.37332165</v>
      </c>
      <c r="BD150" s="4">
        <v>-105006758.37332165</v>
      </c>
      <c r="BE150" s="4">
        <v>-105006758.37332165</v>
      </c>
      <c r="BF150" s="4">
        <v>-105006758.37332165</v>
      </c>
      <c r="BG150" s="4">
        <v>-115638515.09677264</v>
      </c>
      <c r="BH150" s="4">
        <v>-115638515.09677264</v>
      </c>
      <c r="BI150" s="23">
        <v>-115638515.09677264</v>
      </c>
      <c r="BJ150" s="35">
        <v>-115638515.09677264</v>
      </c>
      <c r="BK150" s="4">
        <v>-115638515.09677264</v>
      </c>
      <c r="BL150" s="35">
        <v>-115638515.09677264</v>
      </c>
      <c r="BM150" s="4">
        <v>-115638515.09677264</v>
      </c>
      <c r="BN150" s="4">
        <v>-115638515.09677264</v>
      </c>
      <c r="BO150" s="4">
        <v>-115638515.09677264</v>
      </c>
      <c r="BP150" s="4">
        <v>-115638515.09677264</v>
      </c>
      <c r="BQ150" s="35">
        <v>-115638515.09677264</v>
      </c>
      <c r="BR150" s="4">
        <v>-115638515.09677264</v>
      </c>
      <c r="BS150" s="35">
        <v>-115638515.09677264</v>
      </c>
      <c r="BT150" s="4">
        <v>-115638515.09677264</v>
      </c>
      <c r="BU150" s="4">
        <v>-115638515.09677264</v>
      </c>
      <c r="BV150" s="4">
        <v>-115638515.09677264</v>
      </c>
      <c r="BW150" s="4">
        <v>-115638515.09677264</v>
      </c>
      <c r="BX150" s="4">
        <v>-115638515.09677264</v>
      </c>
      <c r="BY150" s="4">
        <v>-115638515.09677264</v>
      </c>
      <c r="BZ150" s="4">
        <v>-115638515.09677264</v>
      </c>
      <c r="CA150" s="4">
        <v>-115638515.09677264</v>
      </c>
      <c r="CB150" s="4">
        <v>-115638515.09677264</v>
      </c>
      <c r="CC150" s="4">
        <v>-115638515.09677264</v>
      </c>
      <c r="CD150" s="4">
        <v>-115638515.09677264</v>
      </c>
      <c r="CE150" s="4">
        <v>-115638515.09677264</v>
      </c>
      <c r="CF150" s="4">
        <v>-115638515.09677264</v>
      </c>
      <c r="CG150" s="4">
        <v>-115638515.09677264</v>
      </c>
      <c r="CH150" s="4">
        <v>-115638515.09677264</v>
      </c>
      <c r="CI150" s="4">
        <v>-115638515.09677264</v>
      </c>
      <c r="CJ150" s="35">
        <v>-115638515.09677264</v>
      </c>
      <c r="CK150" s="4">
        <v>-115638515.09677264</v>
      </c>
      <c r="CL150" s="35">
        <v>-115638515.09677264</v>
      </c>
      <c r="CM150" s="4">
        <v>-115638515.09677264</v>
      </c>
      <c r="CN150" s="4">
        <v>-115638515.09677264</v>
      </c>
      <c r="CO150" s="4">
        <v>-115638515.09677264</v>
      </c>
      <c r="CP150" s="4">
        <v>-115638515.09677264</v>
      </c>
      <c r="CQ150" s="4">
        <v>-115638515.09677264</v>
      </c>
      <c r="CR150" s="4">
        <v>-115638515.09677264</v>
      </c>
      <c r="CS150" s="4">
        <v>-115638515.09677264</v>
      </c>
    </row>
    <row r="151" spans="1:97" x14ac:dyDescent="0.25">
      <c r="A151" t="s">
        <v>158</v>
      </c>
      <c r="C151" s="23">
        <v>-18303815</v>
      </c>
      <c r="D151" s="4">
        <v>-18303815</v>
      </c>
      <c r="E151" s="4">
        <v>-18303815</v>
      </c>
      <c r="F151" s="4">
        <v>-18303815</v>
      </c>
      <c r="G151" s="4">
        <v>-18303815</v>
      </c>
      <c r="H151" s="4">
        <v>-18303815</v>
      </c>
      <c r="I151" s="4">
        <v>-18303815</v>
      </c>
      <c r="J151" s="4">
        <v>-18303815</v>
      </c>
      <c r="K151" s="4">
        <v>-18303815</v>
      </c>
      <c r="L151" s="23">
        <v>-18303815</v>
      </c>
      <c r="M151" s="4">
        <v>-18303815</v>
      </c>
      <c r="N151" s="4">
        <v>-18303815</v>
      </c>
      <c r="O151" s="23">
        <v>-18303815</v>
      </c>
      <c r="P151" s="4">
        <v>-18303815</v>
      </c>
      <c r="Q151" s="4">
        <v>-18396005</v>
      </c>
      <c r="R151" s="4">
        <v>-18396005</v>
      </c>
      <c r="S151" s="4">
        <v>-18396005</v>
      </c>
      <c r="T151" s="23">
        <v>-18396005</v>
      </c>
      <c r="U151" s="39">
        <v>-18396005</v>
      </c>
      <c r="V151" s="39">
        <v>-18396005</v>
      </c>
      <c r="W151" s="39">
        <v>-18396005</v>
      </c>
      <c r="X151" s="39">
        <v>-18396005</v>
      </c>
      <c r="Y151" s="23">
        <v>-18396005</v>
      </c>
      <c r="Z151" s="39">
        <v>-18396005</v>
      </c>
      <c r="AA151" s="39">
        <v>-18396005</v>
      </c>
      <c r="AB151" s="39">
        <v>-18396005</v>
      </c>
      <c r="AC151" s="39">
        <v>-18396005</v>
      </c>
      <c r="AD151" s="4">
        <v>-18396005</v>
      </c>
      <c r="AE151" s="4">
        <v>-18396005</v>
      </c>
      <c r="AF151" s="4">
        <v>-18107410</v>
      </c>
      <c r="AG151" s="4">
        <v>-18107410</v>
      </c>
      <c r="AH151" s="4">
        <v>-18107410</v>
      </c>
      <c r="AI151" s="4">
        <v>-18107410</v>
      </c>
      <c r="AJ151" s="23">
        <v>-18107410</v>
      </c>
      <c r="AK151" s="39">
        <v>-18107410</v>
      </c>
      <c r="AL151" s="39">
        <v>-18107410</v>
      </c>
      <c r="AM151" s="39">
        <v>-18107410</v>
      </c>
      <c r="AN151" s="39">
        <v>-18107410</v>
      </c>
      <c r="AO151" s="4">
        <v>-18107410</v>
      </c>
      <c r="AP151" s="23">
        <v>-18107410</v>
      </c>
      <c r="AQ151" s="4">
        <v>-18107410</v>
      </c>
      <c r="AR151" s="4">
        <v>-18107410</v>
      </c>
      <c r="AS151" s="4">
        <v>-18107410</v>
      </c>
      <c r="AT151" s="4">
        <v>-18107410</v>
      </c>
      <c r="AU151" s="4">
        <v>-18107410</v>
      </c>
      <c r="AV151" s="23">
        <v>-18107410</v>
      </c>
      <c r="AW151" s="4">
        <v>-18107410</v>
      </c>
      <c r="AX151" s="4">
        <v>-18107410</v>
      </c>
      <c r="AY151" s="4">
        <v>-18107410</v>
      </c>
      <c r="AZ151" s="4">
        <v>-18107410</v>
      </c>
      <c r="BA151" s="4">
        <v>-18107410</v>
      </c>
      <c r="BB151" s="23">
        <v>-18107410</v>
      </c>
      <c r="BC151" s="4">
        <v>-18107410</v>
      </c>
      <c r="BD151" s="4">
        <v>-18107410</v>
      </c>
      <c r="BE151" s="4">
        <v>-18107410</v>
      </c>
      <c r="BF151" s="4">
        <v>-18107410</v>
      </c>
      <c r="BG151" s="4">
        <v>-18434555</v>
      </c>
      <c r="BH151" s="4">
        <v>-18434555</v>
      </c>
      <c r="BI151" s="23">
        <v>-18434555</v>
      </c>
      <c r="BJ151" s="35">
        <v>-18434555</v>
      </c>
      <c r="BK151" s="4">
        <v>-18434555</v>
      </c>
      <c r="BL151" s="35">
        <v>-18434555</v>
      </c>
      <c r="BM151" s="4">
        <v>-18434555</v>
      </c>
      <c r="BN151" s="4">
        <v>-18434555</v>
      </c>
      <c r="BO151" s="4">
        <v>-18434555</v>
      </c>
      <c r="BP151" s="4">
        <v>-18434555</v>
      </c>
      <c r="BQ151" s="35">
        <v>-18434555</v>
      </c>
      <c r="BR151" s="4">
        <v>-18434555</v>
      </c>
      <c r="BS151" s="35">
        <v>-18434555</v>
      </c>
      <c r="BT151" s="4">
        <v>-18434555</v>
      </c>
      <c r="BU151" s="4">
        <v>-18434555</v>
      </c>
      <c r="BV151" s="4">
        <v>-18434555</v>
      </c>
      <c r="BW151" s="4">
        <v>-18434555</v>
      </c>
      <c r="BX151" s="4">
        <v>-18434555</v>
      </c>
      <c r="BY151" s="4">
        <v>-18434555</v>
      </c>
      <c r="BZ151" s="4">
        <v>-18434555</v>
      </c>
      <c r="CA151" s="4">
        <v>-18434555</v>
      </c>
      <c r="CB151" s="4">
        <v>-18434555</v>
      </c>
      <c r="CC151" s="4">
        <v>-18434555</v>
      </c>
      <c r="CD151" s="4">
        <v>-18434555</v>
      </c>
      <c r="CE151" s="4">
        <v>-18434555</v>
      </c>
      <c r="CF151" s="4">
        <v>-18434555</v>
      </c>
      <c r="CG151" s="4">
        <v>-18434555</v>
      </c>
      <c r="CH151" s="4">
        <v>-18434555</v>
      </c>
      <c r="CI151" s="4">
        <v>-18434555</v>
      </c>
      <c r="CJ151" s="35">
        <v>-18434555</v>
      </c>
      <c r="CK151" s="4">
        <v>-18434555</v>
      </c>
      <c r="CL151" s="35">
        <v>-18434555</v>
      </c>
      <c r="CM151" s="4">
        <v>-18434555</v>
      </c>
      <c r="CN151" s="4">
        <v>-18434555</v>
      </c>
      <c r="CO151" s="4">
        <v>-18434555</v>
      </c>
      <c r="CP151" s="4">
        <v>-18434555</v>
      </c>
      <c r="CQ151" s="4">
        <v>-18434555</v>
      </c>
      <c r="CR151" s="4">
        <v>-18434555</v>
      </c>
      <c r="CS151" s="4">
        <v>-18434555</v>
      </c>
    </row>
    <row r="152" spans="1:97" x14ac:dyDescent="0.25">
      <c r="A152" t="s">
        <v>159</v>
      </c>
      <c r="C152" s="23">
        <v>0</v>
      </c>
      <c r="D152" s="4">
        <v>0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  <c r="L152" s="23">
        <v>0</v>
      </c>
      <c r="M152" s="4">
        <v>0</v>
      </c>
      <c r="N152" s="4">
        <v>0</v>
      </c>
      <c r="O152" s="23">
        <v>0</v>
      </c>
      <c r="P152" s="4">
        <v>0</v>
      </c>
      <c r="Q152" s="4">
        <v>0</v>
      </c>
      <c r="R152" s="4">
        <v>0</v>
      </c>
      <c r="S152" s="4">
        <v>0</v>
      </c>
      <c r="T152" s="23">
        <v>0</v>
      </c>
      <c r="U152" s="39">
        <v>0</v>
      </c>
      <c r="V152" s="39">
        <v>0</v>
      </c>
      <c r="W152" s="39">
        <v>0</v>
      </c>
      <c r="X152" s="39">
        <v>0</v>
      </c>
      <c r="Y152" s="23">
        <v>0</v>
      </c>
      <c r="Z152" s="39">
        <v>0</v>
      </c>
      <c r="AA152" s="39">
        <v>0</v>
      </c>
      <c r="AB152" s="39">
        <v>0</v>
      </c>
      <c r="AC152" s="39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0</v>
      </c>
      <c r="AJ152" s="23">
        <v>0</v>
      </c>
      <c r="AK152" s="39">
        <v>0</v>
      </c>
      <c r="AL152" s="39">
        <v>0</v>
      </c>
      <c r="AM152" s="39">
        <v>0</v>
      </c>
      <c r="AN152" s="39">
        <v>0</v>
      </c>
      <c r="AO152" s="4">
        <v>0</v>
      </c>
      <c r="AP152" s="23">
        <v>0</v>
      </c>
      <c r="AQ152" s="4">
        <v>0</v>
      </c>
      <c r="AR152" s="4">
        <v>0</v>
      </c>
      <c r="AS152" s="4">
        <v>0</v>
      </c>
      <c r="AT152" s="4">
        <v>0</v>
      </c>
      <c r="AU152" s="4">
        <v>0</v>
      </c>
      <c r="AV152" s="23">
        <v>0</v>
      </c>
      <c r="AW152" s="4">
        <v>0</v>
      </c>
      <c r="AX152" s="4">
        <v>0</v>
      </c>
      <c r="AY152" s="4">
        <v>0</v>
      </c>
      <c r="AZ152" s="4">
        <v>0</v>
      </c>
      <c r="BA152" s="4">
        <v>0</v>
      </c>
      <c r="BB152" s="23">
        <v>0</v>
      </c>
      <c r="BC152" s="4">
        <v>0</v>
      </c>
      <c r="BD152" s="4">
        <v>0</v>
      </c>
      <c r="BE152" s="4">
        <v>0</v>
      </c>
      <c r="BF152" s="4">
        <v>0</v>
      </c>
      <c r="BG152" s="4">
        <v>0</v>
      </c>
      <c r="BH152" s="4">
        <v>0</v>
      </c>
      <c r="BI152" s="23">
        <v>0</v>
      </c>
      <c r="BJ152" s="35">
        <v>0</v>
      </c>
      <c r="BK152" s="4">
        <v>0</v>
      </c>
      <c r="BL152" s="35">
        <v>0</v>
      </c>
      <c r="BM152" s="4">
        <v>0</v>
      </c>
      <c r="BN152" s="4">
        <v>0</v>
      </c>
      <c r="BO152" s="4">
        <v>0</v>
      </c>
      <c r="BP152" s="4">
        <v>0</v>
      </c>
      <c r="BQ152" s="35">
        <v>0</v>
      </c>
      <c r="BR152" s="4">
        <v>0</v>
      </c>
      <c r="BS152" s="35">
        <v>0</v>
      </c>
      <c r="BT152" s="4">
        <v>0</v>
      </c>
      <c r="BU152" s="4">
        <v>0</v>
      </c>
      <c r="BV152" s="4">
        <v>0</v>
      </c>
      <c r="BW152" s="4">
        <v>0</v>
      </c>
      <c r="BX152" s="4">
        <v>0</v>
      </c>
      <c r="BY152" s="4">
        <v>0</v>
      </c>
      <c r="BZ152" s="4">
        <v>0</v>
      </c>
      <c r="CA152" s="4">
        <v>0</v>
      </c>
      <c r="CB152" s="4">
        <v>0</v>
      </c>
      <c r="CC152" s="4">
        <v>0</v>
      </c>
      <c r="CD152" s="4">
        <v>0</v>
      </c>
      <c r="CE152" s="4">
        <v>0</v>
      </c>
      <c r="CF152" s="4">
        <v>0</v>
      </c>
      <c r="CG152" s="4">
        <v>0</v>
      </c>
      <c r="CH152" s="4">
        <v>0</v>
      </c>
      <c r="CI152" s="4">
        <v>0</v>
      </c>
      <c r="CJ152" s="35">
        <v>0</v>
      </c>
      <c r="CK152" s="4">
        <v>0</v>
      </c>
      <c r="CL152" s="35">
        <v>0</v>
      </c>
      <c r="CM152" s="4">
        <v>0</v>
      </c>
      <c r="CN152" s="4">
        <v>0</v>
      </c>
      <c r="CO152" s="4">
        <v>0</v>
      </c>
      <c r="CP152" s="4">
        <v>0</v>
      </c>
      <c r="CQ152" s="4">
        <v>0</v>
      </c>
      <c r="CR152" s="4">
        <v>0</v>
      </c>
      <c r="CS152" s="4">
        <v>0</v>
      </c>
    </row>
    <row r="153" spans="1:97" x14ac:dyDescent="0.25">
      <c r="A153" t="s">
        <v>123</v>
      </c>
      <c r="C153" s="23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  <c r="L153" s="23">
        <v>0</v>
      </c>
      <c r="M153" s="4">
        <v>0</v>
      </c>
      <c r="N153" s="4">
        <v>0</v>
      </c>
      <c r="O153" s="23">
        <v>0</v>
      </c>
      <c r="P153" s="4">
        <v>0</v>
      </c>
      <c r="Q153" s="4">
        <v>0</v>
      </c>
      <c r="R153" s="4">
        <v>0</v>
      </c>
      <c r="S153" s="4">
        <v>0</v>
      </c>
      <c r="T153" s="23">
        <v>0</v>
      </c>
      <c r="U153" s="39">
        <v>0</v>
      </c>
      <c r="V153" s="39">
        <v>0</v>
      </c>
      <c r="W153" s="39">
        <v>0</v>
      </c>
      <c r="X153" s="39">
        <v>0</v>
      </c>
      <c r="Y153" s="23">
        <v>0</v>
      </c>
      <c r="Z153" s="39">
        <v>0</v>
      </c>
      <c r="AA153" s="39">
        <v>0</v>
      </c>
      <c r="AB153" s="39">
        <v>0</v>
      </c>
      <c r="AC153" s="39">
        <v>0</v>
      </c>
      <c r="AD153" s="4">
        <v>0</v>
      </c>
      <c r="AE153" s="4">
        <v>0</v>
      </c>
      <c r="AF153" s="4">
        <v>0</v>
      </c>
      <c r="AG153" s="4">
        <v>0</v>
      </c>
      <c r="AH153" s="4">
        <v>0</v>
      </c>
      <c r="AI153" s="4">
        <v>0</v>
      </c>
      <c r="AJ153" s="23">
        <v>0</v>
      </c>
      <c r="AK153" s="39">
        <v>0</v>
      </c>
      <c r="AL153" s="39">
        <v>0</v>
      </c>
      <c r="AM153" s="39">
        <v>0</v>
      </c>
      <c r="AN153" s="39">
        <v>0</v>
      </c>
      <c r="AO153" s="4">
        <v>0</v>
      </c>
      <c r="AP153" s="23">
        <v>0</v>
      </c>
      <c r="AQ153" s="4">
        <v>0</v>
      </c>
      <c r="AR153" s="4">
        <v>0</v>
      </c>
      <c r="AS153" s="4">
        <v>0</v>
      </c>
      <c r="AT153" s="4">
        <v>0</v>
      </c>
      <c r="AU153" s="4">
        <v>0</v>
      </c>
      <c r="AV153" s="23">
        <v>0</v>
      </c>
      <c r="AW153" s="4">
        <v>0</v>
      </c>
      <c r="AX153" s="4">
        <v>0</v>
      </c>
      <c r="AY153" s="4">
        <v>0</v>
      </c>
      <c r="AZ153" s="4">
        <v>0</v>
      </c>
      <c r="BA153" s="4">
        <v>0</v>
      </c>
      <c r="BB153" s="23">
        <v>0</v>
      </c>
      <c r="BC153" s="4">
        <v>0</v>
      </c>
      <c r="BD153" s="4">
        <v>0</v>
      </c>
      <c r="BE153" s="4">
        <v>0</v>
      </c>
      <c r="BF153" s="4">
        <v>0</v>
      </c>
      <c r="BG153" s="4">
        <v>0</v>
      </c>
      <c r="BH153" s="4">
        <v>0</v>
      </c>
      <c r="BI153" s="23">
        <v>0</v>
      </c>
      <c r="BJ153" s="35">
        <v>0</v>
      </c>
      <c r="BK153" s="4">
        <v>0</v>
      </c>
      <c r="BL153" s="35">
        <v>0</v>
      </c>
      <c r="BM153" s="4">
        <v>0</v>
      </c>
      <c r="BN153" s="4">
        <v>0</v>
      </c>
      <c r="BO153" s="4">
        <v>0</v>
      </c>
      <c r="BP153" s="4">
        <v>0</v>
      </c>
      <c r="BQ153" s="35">
        <v>0</v>
      </c>
      <c r="BR153" s="4">
        <v>0</v>
      </c>
      <c r="BS153" s="35">
        <v>0</v>
      </c>
      <c r="BT153" s="4">
        <v>0</v>
      </c>
      <c r="BU153" s="4">
        <v>0</v>
      </c>
      <c r="BV153" s="4">
        <v>0</v>
      </c>
      <c r="BW153" s="4">
        <v>0</v>
      </c>
      <c r="BX153" s="4">
        <v>0</v>
      </c>
      <c r="BY153" s="4">
        <v>0</v>
      </c>
      <c r="BZ153" s="4">
        <v>0</v>
      </c>
      <c r="CA153" s="4">
        <v>0</v>
      </c>
      <c r="CB153" s="4">
        <v>0</v>
      </c>
      <c r="CC153" s="4">
        <v>0</v>
      </c>
      <c r="CD153" s="4">
        <v>0</v>
      </c>
      <c r="CE153" s="4">
        <v>0</v>
      </c>
      <c r="CF153" s="4">
        <v>0</v>
      </c>
      <c r="CG153" s="4">
        <v>0</v>
      </c>
      <c r="CH153" s="4">
        <v>0</v>
      </c>
      <c r="CI153" s="4">
        <v>0</v>
      </c>
      <c r="CJ153" s="35">
        <v>0</v>
      </c>
      <c r="CK153" s="4">
        <v>0</v>
      </c>
      <c r="CL153" s="35">
        <v>0</v>
      </c>
      <c r="CM153" s="4">
        <v>0</v>
      </c>
      <c r="CN153" s="4">
        <v>0</v>
      </c>
      <c r="CO153" s="4">
        <v>0</v>
      </c>
      <c r="CP153" s="4">
        <v>0</v>
      </c>
      <c r="CQ153" s="4">
        <v>0</v>
      </c>
      <c r="CR153" s="4">
        <v>0</v>
      </c>
      <c r="CS153" s="4">
        <v>0</v>
      </c>
    </row>
    <row r="154" spans="1:97" x14ac:dyDescent="0.25">
      <c r="A154" t="s">
        <v>124</v>
      </c>
      <c r="C154" s="23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  <c r="L154" s="23">
        <v>0</v>
      </c>
      <c r="M154" s="4">
        <v>0</v>
      </c>
      <c r="N154" s="4">
        <v>0</v>
      </c>
      <c r="O154" s="23">
        <v>0</v>
      </c>
      <c r="P154" s="4">
        <v>0</v>
      </c>
      <c r="Q154" s="4">
        <v>-30902232.399999999</v>
      </c>
      <c r="R154" s="4">
        <v>-30902232.399999999</v>
      </c>
      <c r="S154" s="4">
        <v>-30902232.399999999</v>
      </c>
      <c r="T154" s="23">
        <v>-30902232.399999999</v>
      </c>
      <c r="U154" s="39">
        <v>-30902232.399999999</v>
      </c>
      <c r="V154" s="39">
        <v>-30902232.399999999</v>
      </c>
      <c r="W154" s="39">
        <v>-30902232.399999999</v>
      </c>
      <c r="X154" s="39">
        <v>-30902232.399999999</v>
      </c>
      <c r="Y154" s="23">
        <v>-30902232.399999999</v>
      </c>
      <c r="Z154" s="39">
        <v>-30902232.399999999</v>
      </c>
      <c r="AA154" s="39">
        <v>-30902232.399999999</v>
      </c>
      <c r="AB154" s="39">
        <v>-30902232.399999999</v>
      </c>
      <c r="AC154" s="39">
        <v>-30902232.399999999</v>
      </c>
      <c r="AD154" s="43">
        <v>-30902232.399999999</v>
      </c>
      <c r="AE154" s="4">
        <v>-30902232.399999999</v>
      </c>
      <c r="AF154" s="4">
        <v>0</v>
      </c>
      <c r="AG154" s="4">
        <v>0</v>
      </c>
      <c r="AH154" s="4">
        <v>0</v>
      </c>
      <c r="AI154" s="4">
        <v>0</v>
      </c>
      <c r="AJ154" s="23">
        <v>0</v>
      </c>
      <c r="AK154" s="39">
        <v>0</v>
      </c>
      <c r="AL154" s="39">
        <v>0</v>
      </c>
      <c r="AM154" s="39">
        <v>0</v>
      </c>
      <c r="AN154" s="39">
        <v>0</v>
      </c>
      <c r="AO154" s="4">
        <v>0</v>
      </c>
      <c r="AP154" s="23">
        <v>0</v>
      </c>
      <c r="AQ154" s="4">
        <v>0</v>
      </c>
      <c r="AR154" s="4">
        <v>0</v>
      </c>
      <c r="AS154" s="4">
        <v>0</v>
      </c>
      <c r="AT154" s="4">
        <v>0</v>
      </c>
      <c r="AU154" s="4">
        <v>0</v>
      </c>
      <c r="AV154" s="23">
        <v>0</v>
      </c>
      <c r="AW154" s="4">
        <v>0</v>
      </c>
      <c r="AX154" s="4">
        <v>0</v>
      </c>
      <c r="AY154" s="4">
        <v>0</v>
      </c>
      <c r="AZ154" s="4">
        <v>0</v>
      </c>
      <c r="BA154" s="4">
        <v>0</v>
      </c>
      <c r="BB154" s="23">
        <v>0</v>
      </c>
      <c r="BC154" s="4">
        <v>0</v>
      </c>
      <c r="BD154" s="4">
        <v>0</v>
      </c>
      <c r="BE154" s="4">
        <v>0</v>
      </c>
      <c r="BF154" s="43">
        <v>0</v>
      </c>
      <c r="BG154" s="4">
        <v>-533793.04</v>
      </c>
      <c r="BH154" s="4">
        <v>-533793.04</v>
      </c>
      <c r="BI154" s="23">
        <v>-533793.04</v>
      </c>
      <c r="BJ154" s="35">
        <v>-533793.04</v>
      </c>
      <c r="BK154" s="4">
        <v>-533793.04</v>
      </c>
      <c r="BL154" s="35">
        <v>-533793.04</v>
      </c>
      <c r="BM154" s="4">
        <v>-533793.04</v>
      </c>
      <c r="BN154" s="4">
        <v>-533793.04</v>
      </c>
      <c r="BO154" s="4">
        <v>-533793.04</v>
      </c>
      <c r="BP154" s="4">
        <v>-533793.04</v>
      </c>
      <c r="BQ154" s="35">
        <v>-533793.04</v>
      </c>
      <c r="BR154" s="4">
        <v>-533793.04</v>
      </c>
      <c r="BS154" s="35">
        <v>-533793.04</v>
      </c>
      <c r="BT154" s="4">
        <v>-533793.04</v>
      </c>
      <c r="BU154" s="4">
        <v>-533793.04</v>
      </c>
      <c r="BV154" s="4">
        <v>-533793.04</v>
      </c>
      <c r="BW154" s="4">
        <v>-533793.04</v>
      </c>
      <c r="BX154" s="4">
        <v>-533793.04</v>
      </c>
      <c r="BY154" s="4">
        <v>-533793.04</v>
      </c>
      <c r="BZ154" s="4">
        <v>-533793.04</v>
      </c>
      <c r="CA154" s="4">
        <v>-533793.04</v>
      </c>
      <c r="CB154" s="4">
        <v>-533793.04</v>
      </c>
      <c r="CC154" s="4">
        <v>-533793.04</v>
      </c>
      <c r="CD154" s="4">
        <v>-533793.04</v>
      </c>
      <c r="CE154" s="4">
        <v>-533793.04</v>
      </c>
      <c r="CF154" s="4">
        <v>-533793.04</v>
      </c>
      <c r="CG154" s="4">
        <v>-533793.04</v>
      </c>
      <c r="CH154" s="4">
        <v>-533793.04</v>
      </c>
      <c r="CI154" s="4">
        <v>-533793.04</v>
      </c>
      <c r="CJ154" s="35">
        <v>-533793.04</v>
      </c>
      <c r="CK154" s="4">
        <v>-533793.04</v>
      </c>
      <c r="CL154" s="35">
        <v>-533793.04</v>
      </c>
      <c r="CM154" s="4">
        <v>-533793.04</v>
      </c>
      <c r="CN154" s="4">
        <v>-533793.04</v>
      </c>
      <c r="CO154" s="4">
        <v>-533793.04</v>
      </c>
      <c r="CP154" s="4">
        <v>-533793.04</v>
      </c>
      <c r="CQ154" s="4">
        <v>-533793.04</v>
      </c>
      <c r="CR154" s="4">
        <v>-533793.04</v>
      </c>
      <c r="CS154" s="4">
        <v>-533793.04</v>
      </c>
    </row>
    <row r="155" spans="1:97" x14ac:dyDescent="0.25">
      <c r="A155" t="s">
        <v>125</v>
      </c>
      <c r="C155" s="23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  <c r="L155" s="23">
        <v>0</v>
      </c>
      <c r="M155" s="4">
        <v>0</v>
      </c>
      <c r="N155" s="4">
        <v>0</v>
      </c>
      <c r="O155" s="23">
        <v>0</v>
      </c>
      <c r="P155" s="4">
        <v>0</v>
      </c>
      <c r="Q155" s="4">
        <v>-15072226.186144929</v>
      </c>
      <c r="R155" s="4">
        <v>-15072226.186144929</v>
      </c>
      <c r="S155" s="4">
        <v>-15072226.186144929</v>
      </c>
      <c r="T155" s="23">
        <v>-15072226.186144929</v>
      </c>
      <c r="U155" s="39">
        <v>-15072226.186144929</v>
      </c>
      <c r="V155" s="39">
        <v>-15072226.186144929</v>
      </c>
      <c r="W155" s="39">
        <v>-15072226.186144929</v>
      </c>
      <c r="X155" s="39">
        <v>-15072226.186144929</v>
      </c>
      <c r="Y155" s="23">
        <v>-15072226.186144929</v>
      </c>
      <c r="Z155" s="39">
        <v>-15072226.186144929</v>
      </c>
      <c r="AA155" s="39">
        <v>-15072226.186144929</v>
      </c>
      <c r="AB155" s="39">
        <v>-15072226.186144929</v>
      </c>
      <c r="AC155" s="39">
        <v>-15072226.186144929</v>
      </c>
      <c r="AD155" s="43">
        <v>-15072226.186144929</v>
      </c>
      <c r="AE155" s="4">
        <v>-15072226.186144929</v>
      </c>
      <c r="AF155" s="4">
        <v>-560476.45357227325</v>
      </c>
      <c r="AG155" s="4">
        <v>-560476.45357227325</v>
      </c>
      <c r="AH155" s="4">
        <v>-560476.45357227325</v>
      </c>
      <c r="AI155" s="4">
        <v>-560476.45357227325</v>
      </c>
      <c r="AJ155" s="23">
        <v>-560476.45357227325</v>
      </c>
      <c r="AK155" s="39">
        <v>-560476.45357227325</v>
      </c>
      <c r="AL155" s="39">
        <v>-560476.45357227325</v>
      </c>
      <c r="AM155" s="39">
        <v>-560476.45357227325</v>
      </c>
      <c r="AN155" s="39">
        <v>-560476.45357227325</v>
      </c>
      <c r="AO155" s="4">
        <v>-560476.45357227325</v>
      </c>
      <c r="AP155" s="23">
        <v>-560476.45357227325</v>
      </c>
      <c r="AQ155" s="4">
        <v>-560476.45357227325</v>
      </c>
      <c r="AR155" s="4">
        <v>-560476.45357227325</v>
      </c>
      <c r="AS155" s="4">
        <v>-560476.45357227325</v>
      </c>
      <c r="AT155" s="4">
        <v>-560476.45357227325</v>
      </c>
      <c r="AU155" s="4">
        <v>-560476.45357227325</v>
      </c>
      <c r="AV155" s="23">
        <v>-560476.45357227325</v>
      </c>
      <c r="AW155" s="4">
        <v>-560476.45357227325</v>
      </c>
      <c r="AX155" s="4">
        <v>-560476.45357227325</v>
      </c>
      <c r="AY155" s="4">
        <v>-560476.45357227325</v>
      </c>
      <c r="AZ155" s="4">
        <v>-560476.45357227325</v>
      </c>
      <c r="BA155" s="4">
        <v>-560476.45357227325</v>
      </c>
      <c r="BB155" s="23">
        <v>-560476.45357227325</v>
      </c>
      <c r="BC155" s="4">
        <v>-560476.45357227325</v>
      </c>
      <c r="BD155" s="4">
        <v>-560476.45357227325</v>
      </c>
      <c r="BE155" s="4">
        <v>-560476.45357227325</v>
      </c>
      <c r="BF155" s="43">
        <v>-560476.45357227325</v>
      </c>
      <c r="BG155" s="4">
        <v>0</v>
      </c>
      <c r="BH155" s="4">
        <v>0</v>
      </c>
      <c r="BI155" s="23">
        <v>0</v>
      </c>
      <c r="BJ155" s="35">
        <v>0</v>
      </c>
      <c r="BK155" s="4">
        <v>0</v>
      </c>
      <c r="BL155" s="35">
        <v>0</v>
      </c>
      <c r="BM155" s="4">
        <v>0</v>
      </c>
      <c r="BN155" s="4">
        <v>0</v>
      </c>
      <c r="BO155" s="4">
        <v>0</v>
      </c>
      <c r="BP155" s="4">
        <v>0</v>
      </c>
      <c r="BQ155" s="35">
        <v>0</v>
      </c>
      <c r="BR155" s="4">
        <v>0</v>
      </c>
      <c r="BS155" s="35">
        <v>0</v>
      </c>
      <c r="BT155" s="4">
        <v>0</v>
      </c>
      <c r="BU155" s="4">
        <v>0</v>
      </c>
      <c r="BV155" s="4">
        <v>0</v>
      </c>
      <c r="BW155" s="4">
        <v>0</v>
      </c>
      <c r="BX155" s="4">
        <v>0</v>
      </c>
      <c r="BY155" s="4">
        <v>0</v>
      </c>
      <c r="BZ155" s="4">
        <v>0</v>
      </c>
      <c r="CA155" s="4">
        <v>0</v>
      </c>
      <c r="CB155" s="4">
        <v>0</v>
      </c>
      <c r="CC155" s="4">
        <v>0</v>
      </c>
      <c r="CD155" s="4">
        <v>0</v>
      </c>
      <c r="CE155" s="4">
        <v>0</v>
      </c>
      <c r="CF155" s="4">
        <v>0</v>
      </c>
      <c r="CG155" s="4">
        <v>0</v>
      </c>
      <c r="CH155" s="4">
        <v>0</v>
      </c>
      <c r="CI155" s="4">
        <v>0</v>
      </c>
      <c r="CJ155" s="35">
        <v>0</v>
      </c>
      <c r="CK155" s="4">
        <v>0</v>
      </c>
      <c r="CL155" s="35">
        <v>0</v>
      </c>
      <c r="CM155" s="4">
        <v>0</v>
      </c>
      <c r="CN155" s="4">
        <v>0</v>
      </c>
      <c r="CO155" s="4">
        <v>0</v>
      </c>
      <c r="CP155" s="4">
        <v>0</v>
      </c>
      <c r="CQ155" s="4">
        <v>0</v>
      </c>
      <c r="CR155" s="4">
        <v>0</v>
      </c>
      <c r="CS155" s="4">
        <v>0</v>
      </c>
    </row>
    <row r="156" spans="1:97" x14ac:dyDescent="0.25">
      <c r="A156" t="s">
        <v>160</v>
      </c>
      <c r="C156" s="23">
        <v>-387550818.95999998</v>
      </c>
      <c r="D156" s="4">
        <v>-387550818.95999998</v>
      </c>
      <c r="E156" s="4">
        <v>-387550818.95999998</v>
      </c>
      <c r="F156" s="4">
        <v>-387550818.95999998</v>
      </c>
      <c r="G156" s="4">
        <v>-387550818.95999998</v>
      </c>
      <c r="H156" s="4">
        <v>-387550818.95999998</v>
      </c>
      <c r="I156" s="4">
        <v>-387550818.95999998</v>
      </c>
      <c r="J156" s="4">
        <v>-387550818.95999998</v>
      </c>
      <c r="K156" s="4">
        <v>-387550818.95999998</v>
      </c>
      <c r="L156" s="23">
        <v>-387550818.95999998</v>
      </c>
      <c r="M156" s="4">
        <v>-387550818.95999998</v>
      </c>
      <c r="N156" s="4">
        <v>-387550818.95999998</v>
      </c>
      <c r="O156" s="23">
        <v>-387550818.95999998</v>
      </c>
      <c r="P156" s="4">
        <v>-387550818.95999998</v>
      </c>
      <c r="Q156" s="4">
        <v>-386934121.65000004</v>
      </c>
      <c r="R156" s="4">
        <v>-386934121.65000004</v>
      </c>
      <c r="S156" s="4">
        <v>-386934121.65000004</v>
      </c>
      <c r="T156" s="23">
        <v>-386934121.65000004</v>
      </c>
      <c r="U156" s="39">
        <v>-386934121.65000004</v>
      </c>
      <c r="V156" s="39">
        <v>-386934121.65000004</v>
      </c>
      <c r="W156" s="39">
        <v>-386934121.65000004</v>
      </c>
      <c r="X156" s="39">
        <v>-386934121.65000004</v>
      </c>
      <c r="Y156" s="23">
        <v>-386934121.65000004</v>
      </c>
      <c r="Z156" s="39">
        <v>-386934121.65000004</v>
      </c>
      <c r="AA156" s="39">
        <v>-386934121.65000004</v>
      </c>
      <c r="AB156" s="39">
        <v>-386934121.65000004</v>
      </c>
      <c r="AC156" s="39">
        <v>-386934121.65000004</v>
      </c>
      <c r="AD156" s="4">
        <v>-386934121.65000004</v>
      </c>
      <c r="AE156" s="4">
        <v>-386934121.65000004</v>
      </c>
      <c r="AF156" s="4">
        <v>-390168687.28500003</v>
      </c>
      <c r="AG156" s="4">
        <v>-390168687.28500003</v>
      </c>
      <c r="AH156" s="4">
        <v>-390168687.28500003</v>
      </c>
      <c r="AI156" s="4">
        <v>-390168687.28500003</v>
      </c>
      <c r="AJ156" s="23">
        <v>-390168687.28500003</v>
      </c>
      <c r="AK156" s="39">
        <v>-390168687.28500003</v>
      </c>
      <c r="AL156" s="39">
        <v>-390168687.28500003</v>
      </c>
      <c r="AM156" s="39">
        <v>-390168687.28500003</v>
      </c>
      <c r="AN156" s="39">
        <v>-390168687.28500003</v>
      </c>
      <c r="AO156" s="4">
        <v>-390168687.28500003</v>
      </c>
      <c r="AP156" s="23">
        <v>-390168687.28500003</v>
      </c>
      <c r="AQ156" s="4">
        <v>-390168687.28500003</v>
      </c>
      <c r="AR156" s="4">
        <v>-390168687.28500003</v>
      </c>
      <c r="AS156" s="4">
        <v>-390168687.28500003</v>
      </c>
      <c r="AT156" s="4">
        <v>-390168687.28500003</v>
      </c>
      <c r="AU156" s="4">
        <v>-390168687.28500003</v>
      </c>
      <c r="AV156" s="23">
        <v>-390168687.28500003</v>
      </c>
      <c r="AW156" s="4">
        <v>-390168687.28500003</v>
      </c>
      <c r="AX156" s="4">
        <v>-390168687.28500003</v>
      </c>
      <c r="AY156" s="4">
        <v>-390168687.28500003</v>
      </c>
      <c r="AZ156" s="4">
        <v>-390168687.28500003</v>
      </c>
      <c r="BA156" s="4">
        <v>-390168687.28500003</v>
      </c>
      <c r="BB156" s="23">
        <v>-390168687.28500003</v>
      </c>
      <c r="BC156" s="4">
        <v>-390168687.28500003</v>
      </c>
      <c r="BD156" s="4">
        <v>-390168687.28500003</v>
      </c>
      <c r="BE156" s="4">
        <v>-390168687.28500003</v>
      </c>
      <c r="BF156" s="4">
        <v>-390168687.28500003</v>
      </c>
      <c r="BG156" s="4">
        <v>-374607887.2566666</v>
      </c>
      <c r="BH156" s="4">
        <v>-374607887.2566666</v>
      </c>
      <c r="BI156" s="23">
        <v>-374607887.2566666</v>
      </c>
      <c r="BJ156" s="35">
        <v>-374607887.2566666</v>
      </c>
      <c r="BK156" s="4">
        <v>-374607887.2566666</v>
      </c>
      <c r="BL156" s="35">
        <v>-374607887.2566666</v>
      </c>
      <c r="BM156" s="4">
        <v>-374607887.2566666</v>
      </c>
      <c r="BN156" s="4">
        <v>-374607887.2566666</v>
      </c>
      <c r="BO156" s="4">
        <v>-374607887.2566666</v>
      </c>
      <c r="BP156" s="4">
        <v>-374607887.2566666</v>
      </c>
      <c r="BQ156" s="35">
        <v>-374607887.2566666</v>
      </c>
      <c r="BR156" s="4">
        <v>-374607887.2566666</v>
      </c>
      <c r="BS156" s="35">
        <v>-374607887.2566666</v>
      </c>
      <c r="BT156" s="4">
        <v>-374607887.2566666</v>
      </c>
      <c r="BU156" s="4">
        <v>-374607887.2566666</v>
      </c>
      <c r="BV156" s="4">
        <v>-374607887.2566666</v>
      </c>
      <c r="BW156" s="4">
        <v>-374607887.2566666</v>
      </c>
      <c r="BX156" s="4">
        <v>-374607887.2566666</v>
      </c>
      <c r="BY156" s="4">
        <v>-374607887.2566666</v>
      </c>
      <c r="BZ156" s="4">
        <v>-374607887.2566666</v>
      </c>
      <c r="CA156" s="4">
        <v>-374607887.2566666</v>
      </c>
      <c r="CB156" s="4">
        <v>-374607887.2566666</v>
      </c>
      <c r="CC156" s="4">
        <v>-374607887.2566666</v>
      </c>
      <c r="CD156" s="4">
        <v>-374607887.2566666</v>
      </c>
      <c r="CE156" s="4">
        <v>-374607887.2566666</v>
      </c>
      <c r="CF156" s="4">
        <v>-374607887.2566666</v>
      </c>
      <c r="CG156" s="4">
        <v>-374607887.2566666</v>
      </c>
      <c r="CH156" s="4">
        <v>-374607887.2566666</v>
      </c>
      <c r="CI156" s="4">
        <v>-374607887.2566666</v>
      </c>
      <c r="CJ156" s="35">
        <v>-374607887.2566666</v>
      </c>
      <c r="CK156" s="4">
        <v>-374607887.2566666</v>
      </c>
      <c r="CL156" s="35">
        <v>-374607887.2566666</v>
      </c>
      <c r="CM156" s="4">
        <v>-374607887.2566666</v>
      </c>
      <c r="CN156" s="4">
        <v>-374607887.2566666</v>
      </c>
      <c r="CO156" s="4">
        <v>-374607887.2566666</v>
      </c>
      <c r="CP156" s="4">
        <v>-374607887.2566666</v>
      </c>
      <c r="CQ156" s="4">
        <v>-374607887.2566666</v>
      </c>
      <c r="CR156" s="4">
        <v>-374607887.2566666</v>
      </c>
      <c r="CS156" s="4">
        <v>-374607887.2566666</v>
      </c>
    </row>
    <row r="157" spans="1:97" x14ac:dyDescent="0.25">
      <c r="A157" t="s">
        <v>161</v>
      </c>
      <c r="C157" s="23">
        <v>-15874822.228333334</v>
      </c>
      <c r="D157" s="4">
        <v>-15874822.228333334</v>
      </c>
      <c r="E157" s="4">
        <v>-15874822.228333334</v>
      </c>
      <c r="F157" s="4">
        <v>-15874822.228333334</v>
      </c>
      <c r="G157" s="4">
        <v>-15874822.228333334</v>
      </c>
      <c r="H157" s="4">
        <v>-15874822.228333334</v>
      </c>
      <c r="I157" s="4">
        <v>-15874822.228333334</v>
      </c>
      <c r="J157" s="4">
        <v>-15874822.228333334</v>
      </c>
      <c r="K157" s="4">
        <v>-15874822.228333334</v>
      </c>
      <c r="L157" s="23">
        <v>-15874822.228333334</v>
      </c>
      <c r="M157" s="4">
        <v>-15874822.228333334</v>
      </c>
      <c r="N157" s="4">
        <v>-15874822.228333334</v>
      </c>
      <c r="O157" s="23">
        <v>-15874822.228333334</v>
      </c>
      <c r="P157" s="4">
        <v>-15874822.228333334</v>
      </c>
      <c r="Q157" s="4">
        <v>-17720858.121666666</v>
      </c>
      <c r="R157" s="4">
        <v>-17720858.121666666</v>
      </c>
      <c r="S157" s="4">
        <v>-17720858.121666666</v>
      </c>
      <c r="T157" s="23">
        <v>-17720858.121666666</v>
      </c>
      <c r="U157" s="39">
        <v>-17720858.121666666</v>
      </c>
      <c r="V157" s="39">
        <v>-17720858.121666666</v>
      </c>
      <c r="W157" s="39">
        <v>-17720858.121666666</v>
      </c>
      <c r="X157" s="39">
        <v>-17720858.121666666</v>
      </c>
      <c r="Y157" s="23">
        <v>-17720858.121666666</v>
      </c>
      <c r="Z157" s="39">
        <v>-17720858.121666666</v>
      </c>
      <c r="AA157" s="39">
        <v>-17720858.121666666</v>
      </c>
      <c r="AB157" s="39">
        <v>-17720858.121666666</v>
      </c>
      <c r="AC157" s="39">
        <v>-17720858.121666666</v>
      </c>
      <c r="AD157" s="4">
        <v>-17720858.121666666</v>
      </c>
      <c r="AE157" s="4">
        <v>-17720858.121666666</v>
      </c>
      <c r="AF157" s="4">
        <v>-19349623.890000001</v>
      </c>
      <c r="AG157" s="4">
        <v>-19349623.890000001</v>
      </c>
      <c r="AH157" s="4">
        <v>-19349623.890000001</v>
      </c>
      <c r="AI157" s="4">
        <v>-19349623.890000001</v>
      </c>
      <c r="AJ157" s="23">
        <v>-19349623.890000001</v>
      </c>
      <c r="AK157" s="39">
        <v>-19349623.890000001</v>
      </c>
      <c r="AL157" s="39">
        <v>-19349623.890000001</v>
      </c>
      <c r="AM157" s="39">
        <v>-19349623.890000001</v>
      </c>
      <c r="AN157" s="39">
        <v>-19349623.890000001</v>
      </c>
      <c r="AO157" s="4">
        <v>-19349623.890000001</v>
      </c>
      <c r="AP157" s="23">
        <v>-19349623.890000001</v>
      </c>
      <c r="AQ157" s="4">
        <v>-19349623.890000001</v>
      </c>
      <c r="AR157" s="4">
        <v>-19349623.890000001</v>
      </c>
      <c r="AS157" s="4">
        <v>-19349623.890000001</v>
      </c>
      <c r="AT157" s="4">
        <v>-19349623.890000001</v>
      </c>
      <c r="AU157" s="4">
        <v>-19349623.890000001</v>
      </c>
      <c r="AV157" s="23">
        <v>-19349623.890000001</v>
      </c>
      <c r="AW157" s="4">
        <v>-19349623.890000001</v>
      </c>
      <c r="AX157" s="4">
        <v>-19349623.890000001</v>
      </c>
      <c r="AY157" s="4">
        <v>-19349623.890000001</v>
      </c>
      <c r="AZ157" s="4">
        <v>-19349623.890000001</v>
      </c>
      <c r="BA157" s="4">
        <v>-19349623.890000001</v>
      </c>
      <c r="BB157" s="23">
        <v>-19349623.890000001</v>
      </c>
      <c r="BC157" s="4">
        <v>-19349623.890000001</v>
      </c>
      <c r="BD157" s="4">
        <v>-19349623.890000001</v>
      </c>
      <c r="BE157" s="4">
        <v>-19349623.890000001</v>
      </c>
      <c r="BF157" s="4">
        <v>-19349623.890000001</v>
      </c>
      <c r="BG157" s="4">
        <v>-22987180.206666667</v>
      </c>
      <c r="BH157" s="4">
        <v>-22987180.206666667</v>
      </c>
      <c r="BI157" s="23">
        <v>-22987180.206666667</v>
      </c>
      <c r="BJ157" s="35">
        <v>-22987180.206666667</v>
      </c>
      <c r="BK157" s="4">
        <v>-22987180.206666667</v>
      </c>
      <c r="BL157" s="35">
        <v>-22987180.206666667</v>
      </c>
      <c r="BM157" s="4">
        <v>-22987180.206666667</v>
      </c>
      <c r="BN157" s="4">
        <v>-22987180.206666667</v>
      </c>
      <c r="BO157" s="4">
        <v>-22987180.206666667</v>
      </c>
      <c r="BP157" s="4">
        <v>-22987180.206666667</v>
      </c>
      <c r="BQ157" s="35">
        <v>-22987180.206666667</v>
      </c>
      <c r="BR157" s="4">
        <v>-22987180.206666667</v>
      </c>
      <c r="BS157" s="35">
        <v>-22987180.206666667</v>
      </c>
      <c r="BT157" s="4">
        <v>-22987180.206666667</v>
      </c>
      <c r="BU157" s="4">
        <v>-22987180.206666667</v>
      </c>
      <c r="BV157" s="4">
        <v>-22987180.206666667</v>
      </c>
      <c r="BW157" s="4">
        <v>-22987180.206666667</v>
      </c>
      <c r="BX157" s="4">
        <v>-22987180.206666667</v>
      </c>
      <c r="BY157" s="4">
        <v>-22987180.206666667</v>
      </c>
      <c r="BZ157" s="4">
        <v>-22987180.206666667</v>
      </c>
      <c r="CA157" s="4">
        <v>-22987180.206666667</v>
      </c>
      <c r="CB157" s="4">
        <v>-22987180.206666667</v>
      </c>
      <c r="CC157" s="4">
        <v>-22987180.206666667</v>
      </c>
      <c r="CD157" s="4">
        <v>-22987180.206666667</v>
      </c>
      <c r="CE157" s="4">
        <v>-22987180.206666667</v>
      </c>
      <c r="CF157" s="4">
        <v>-22987180.206666667</v>
      </c>
      <c r="CG157" s="4">
        <v>-22987180.206666667</v>
      </c>
      <c r="CH157" s="4">
        <v>-22987180.206666667</v>
      </c>
      <c r="CI157" s="4">
        <v>-22987180.206666667</v>
      </c>
      <c r="CJ157" s="35">
        <v>-22987180.206666667</v>
      </c>
      <c r="CK157" s="4">
        <v>-22987180.206666667</v>
      </c>
      <c r="CL157" s="35">
        <v>-22987180.206666667</v>
      </c>
      <c r="CM157" s="4">
        <v>-22987180.206666667</v>
      </c>
      <c r="CN157" s="4">
        <v>-22987180.206666667</v>
      </c>
      <c r="CO157" s="4">
        <v>-22987180.206666667</v>
      </c>
      <c r="CP157" s="4">
        <v>-22987180.206666667</v>
      </c>
      <c r="CQ157" s="4">
        <v>-22987180.206666667</v>
      </c>
      <c r="CR157" s="4">
        <v>-22987180.206666667</v>
      </c>
      <c r="CS157" s="4">
        <v>-22987180.206666667</v>
      </c>
    </row>
    <row r="158" spans="1:97" x14ac:dyDescent="0.25">
      <c r="A158" t="s">
        <v>162</v>
      </c>
      <c r="C158" s="23">
        <v>0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  <c r="L158" s="23">
        <v>0</v>
      </c>
      <c r="M158" s="4">
        <v>0</v>
      </c>
      <c r="N158" s="4">
        <v>0</v>
      </c>
      <c r="O158" s="23">
        <v>0</v>
      </c>
      <c r="P158" s="4">
        <v>0</v>
      </c>
      <c r="Q158" s="4">
        <v>0</v>
      </c>
      <c r="R158" s="4">
        <v>0</v>
      </c>
      <c r="S158" s="4">
        <v>0</v>
      </c>
      <c r="T158" s="23">
        <v>0</v>
      </c>
      <c r="U158" s="39">
        <v>0</v>
      </c>
      <c r="V158" s="39">
        <v>0</v>
      </c>
      <c r="W158" s="39">
        <v>0</v>
      </c>
      <c r="X158" s="39">
        <v>0</v>
      </c>
      <c r="Y158" s="23">
        <v>0</v>
      </c>
      <c r="Z158" s="39">
        <v>0</v>
      </c>
      <c r="AA158" s="39">
        <v>0</v>
      </c>
      <c r="AB158" s="39">
        <v>0</v>
      </c>
      <c r="AC158" s="39">
        <v>0</v>
      </c>
      <c r="AD158" s="4">
        <v>0</v>
      </c>
      <c r="AE158" s="4">
        <v>0</v>
      </c>
      <c r="AF158" s="4">
        <v>-145657309.91710502</v>
      </c>
      <c r="AG158" s="4">
        <v>-145657309.91710502</v>
      </c>
      <c r="AH158" s="4">
        <v>-145657309.91710502</v>
      </c>
      <c r="AI158" s="4">
        <v>-145657309.91710502</v>
      </c>
      <c r="AJ158" s="23">
        <v>-145657309.91710502</v>
      </c>
      <c r="AK158" s="39">
        <v>-145657309.91710502</v>
      </c>
      <c r="AL158" s="39">
        <v>-145657309.91710502</v>
      </c>
      <c r="AM158" s="39">
        <v>-145657309.91710502</v>
      </c>
      <c r="AN158" s="39">
        <v>-145657309.91710502</v>
      </c>
      <c r="AO158" s="4">
        <v>-145657309.91710502</v>
      </c>
      <c r="AP158" s="23">
        <v>-145657309.91710502</v>
      </c>
      <c r="AQ158" s="4">
        <v>-145657309.91710502</v>
      </c>
      <c r="AR158" s="4">
        <v>-145657309.91710502</v>
      </c>
      <c r="AS158" s="4">
        <v>-145657309.91710502</v>
      </c>
      <c r="AT158" s="4">
        <v>-145657309.91710502</v>
      </c>
      <c r="AU158" s="4">
        <v>-145657309.91710502</v>
      </c>
      <c r="AV158" s="23">
        <v>-145657309.91710502</v>
      </c>
      <c r="AW158" s="4">
        <v>-145657309.91710502</v>
      </c>
      <c r="AX158" s="4">
        <v>-145657309.91710502</v>
      </c>
      <c r="AY158" s="4">
        <v>-145657309.91710502</v>
      </c>
      <c r="AZ158" s="4">
        <v>-145657309.91710502</v>
      </c>
      <c r="BA158" s="4">
        <v>-145657309.91710502</v>
      </c>
      <c r="BB158" s="23">
        <v>-145657309.91710502</v>
      </c>
      <c r="BC158" s="4">
        <v>-145657309.91710502</v>
      </c>
      <c r="BD158" s="4">
        <v>-145657309.91710502</v>
      </c>
      <c r="BE158" s="4">
        <v>-145657309.91710502</v>
      </c>
      <c r="BF158" s="4">
        <v>-145657309.91710502</v>
      </c>
      <c r="BG158" s="4">
        <v>0</v>
      </c>
      <c r="BH158" s="4">
        <v>0</v>
      </c>
      <c r="BI158" s="23">
        <v>0</v>
      </c>
      <c r="BJ158" s="35">
        <v>0</v>
      </c>
      <c r="BK158" s="4">
        <v>0</v>
      </c>
      <c r="BL158" s="35">
        <v>0</v>
      </c>
      <c r="BM158" s="4">
        <v>0</v>
      </c>
      <c r="BN158" s="4">
        <v>0</v>
      </c>
      <c r="BO158" s="4">
        <v>0</v>
      </c>
      <c r="BP158" s="4">
        <v>0</v>
      </c>
      <c r="BQ158" s="35">
        <v>0</v>
      </c>
      <c r="BR158" s="4">
        <v>0</v>
      </c>
      <c r="BS158" s="35">
        <v>0</v>
      </c>
      <c r="BT158" s="4">
        <v>0</v>
      </c>
      <c r="BU158" s="4">
        <v>0</v>
      </c>
      <c r="BV158" s="4">
        <v>0</v>
      </c>
      <c r="BW158" s="4">
        <v>0</v>
      </c>
      <c r="BX158" s="4">
        <v>0</v>
      </c>
      <c r="BY158" s="4">
        <v>0</v>
      </c>
      <c r="BZ158" s="4">
        <v>0</v>
      </c>
      <c r="CA158" s="4">
        <v>0</v>
      </c>
      <c r="CB158" s="4">
        <v>0</v>
      </c>
      <c r="CC158" s="4">
        <v>0</v>
      </c>
      <c r="CD158" s="4">
        <v>0</v>
      </c>
      <c r="CE158" s="4">
        <v>0</v>
      </c>
      <c r="CF158" s="4">
        <v>0</v>
      </c>
      <c r="CG158" s="4">
        <v>0</v>
      </c>
      <c r="CH158" s="4">
        <v>0</v>
      </c>
      <c r="CI158" s="4">
        <v>0</v>
      </c>
      <c r="CJ158" s="35">
        <v>0</v>
      </c>
      <c r="CK158" s="4">
        <v>0</v>
      </c>
      <c r="CL158" s="35">
        <v>0</v>
      </c>
      <c r="CM158" s="4">
        <v>0</v>
      </c>
      <c r="CN158" s="4">
        <v>0</v>
      </c>
      <c r="CO158" s="4">
        <v>0</v>
      </c>
      <c r="CP158" s="4">
        <v>0</v>
      </c>
      <c r="CQ158" s="4">
        <v>0</v>
      </c>
      <c r="CR158" s="4">
        <v>0</v>
      </c>
      <c r="CS158" s="4">
        <v>0</v>
      </c>
    </row>
    <row r="159" spans="1:97" x14ac:dyDescent="0.25">
      <c r="A159" t="s">
        <v>163</v>
      </c>
      <c r="C159" s="23">
        <v>-299996269.45028847</v>
      </c>
      <c r="D159" s="4">
        <v>-299996269.45028847</v>
      </c>
      <c r="E159" s="4">
        <v>-299996269.45028847</v>
      </c>
      <c r="F159" s="4">
        <v>-299996269.45028847</v>
      </c>
      <c r="G159" s="4">
        <v>-299996269.45028847</v>
      </c>
      <c r="H159" s="4">
        <v>-299996269.45028847</v>
      </c>
      <c r="I159" s="4">
        <v>-299996269.45028847</v>
      </c>
      <c r="J159" s="4">
        <v>-299996269.45028847</v>
      </c>
      <c r="K159" s="4">
        <v>-299996269.45028847</v>
      </c>
      <c r="L159" s="23">
        <v>-299996269.45028847</v>
      </c>
      <c r="M159" s="4">
        <v>-299996269.45028847</v>
      </c>
      <c r="N159" s="4">
        <v>-299996269.45028847</v>
      </c>
      <c r="O159" s="23">
        <v>-299996269.45028847</v>
      </c>
      <c r="P159" s="4">
        <v>-299996269.45028847</v>
      </c>
      <c r="Q159" s="4">
        <v>-262350858.4662686</v>
      </c>
      <c r="R159" s="4">
        <v>-262350858.4662686</v>
      </c>
      <c r="S159" s="4">
        <v>-262350858.4662686</v>
      </c>
      <c r="T159" s="23">
        <v>-262350858.4662686</v>
      </c>
      <c r="U159" s="39">
        <v>-262350858.4662686</v>
      </c>
      <c r="V159" s="39">
        <v>-262350858.4662686</v>
      </c>
      <c r="W159" s="39">
        <v>-262350858.4662686</v>
      </c>
      <c r="X159" s="39">
        <v>-262350858.4662686</v>
      </c>
      <c r="Y159" s="23">
        <v>-262350858.4662686</v>
      </c>
      <c r="Z159" s="39">
        <v>-262350858.4662686</v>
      </c>
      <c r="AA159" s="39">
        <v>-262350858.4662686</v>
      </c>
      <c r="AB159" s="39">
        <v>-262350858.4662686</v>
      </c>
      <c r="AC159" s="39">
        <v>-262350858.4662686</v>
      </c>
      <c r="AD159" s="4">
        <v>-262350858.4662686</v>
      </c>
      <c r="AE159" s="4">
        <v>-262350858.4662686</v>
      </c>
      <c r="AF159" s="4">
        <v>-260475300.056068</v>
      </c>
      <c r="AG159" s="4">
        <v>-260475300.056068</v>
      </c>
      <c r="AH159" s="4">
        <v>-260475300.056068</v>
      </c>
      <c r="AI159" s="4">
        <v>-260475300.056068</v>
      </c>
      <c r="AJ159" s="23">
        <v>-260475300.056068</v>
      </c>
      <c r="AK159" s="39">
        <v>-260475300.056068</v>
      </c>
      <c r="AL159" s="39">
        <v>-260475300.056068</v>
      </c>
      <c r="AM159" s="39">
        <v>-260475300.056068</v>
      </c>
      <c r="AN159" s="39">
        <v>-260475300.056068</v>
      </c>
      <c r="AO159" s="4">
        <v>-260475300.056068</v>
      </c>
      <c r="AP159" s="23">
        <v>-260475300.056068</v>
      </c>
      <c r="AQ159" s="4">
        <v>-260475300.056068</v>
      </c>
      <c r="AR159" s="4">
        <v>-260475300.056068</v>
      </c>
      <c r="AS159" s="4">
        <v>-260475300.056068</v>
      </c>
      <c r="AT159" s="4">
        <v>-260475300.056068</v>
      </c>
      <c r="AU159" s="4">
        <v>-260475300.056068</v>
      </c>
      <c r="AV159" s="23">
        <v>-260475300.056068</v>
      </c>
      <c r="AW159" s="4">
        <v>-260475300.056068</v>
      </c>
      <c r="AX159" s="4">
        <v>-260475300.056068</v>
      </c>
      <c r="AY159" s="4">
        <v>-260475300.056068</v>
      </c>
      <c r="AZ159" s="4">
        <v>-260475300.056068</v>
      </c>
      <c r="BA159" s="4">
        <v>-260475300.056068</v>
      </c>
      <c r="BB159" s="23">
        <v>-260475300.056068</v>
      </c>
      <c r="BC159" s="4">
        <v>-260475300.056068</v>
      </c>
      <c r="BD159" s="4">
        <v>-260475300.056068</v>
      </c>
      <c r="BE159" s="4">
        <v>-260475300.056068</v>
      </c>
      <c r="BF159" s="4">
        <v>-260475300.056068</v>
      </c>
      <c r="BG159" s="4">
        <v>-252923759.87871802</v>
      </c>
      <c r="BH159" s="4">
        <v>-252923759.87871802</v>
      </c>
      <c r="BI159" s="23">
        <v>-252923759.87871802</v>
      </c>
      <c r="BJ159" s="35">
        <v>-252923759.87871802</v>
      </c>
      <c r="BK159" s="4">
        <v>-252923759.87871802</v>
      </c>
      <c r="BL159" s="35">
        <v>-252923759.87871802</v>
      </c>
      <c r="BM159" s="4">
        <v>-252923759.87871802</v>
      </c>
      <c r="BN159" s="4">
        <v>-252923759.87871802</v>
      </c>
      <c r="BO159" s="4">
        <v>-252923759.87871802</v>
      </c>
      <c r="BP159" s="4">
        <v>-252923759.87871802</v>
      </c>
      <c r="BQ159" s="35">
        <v>-252923759.87871802</v>
      </c>
      <c r="BR159" s="4">
        <v>-252923759.87871802</v>
      </c>
      <c r="BS159" s="35">
        <v>-252923759.87871802</v>
      </c>
      <c r="BT159" s="4">
        <v>-252923759.87871802</v>
      </c>
      <c r="BU159" s="4">
        <v>-252923759.87871802</v>
      </c>
      <c r="BV159" s="4">
        <v>-252923759.87871802</v>
      </c>
      <c r="BW159" s="4">
        <v>-252923759.87871802</v>
      </c>
      <c r="BX159" s="4">
        <v>-252923759.87871802</v>
      </c>
      <c r="BY159" s="4">
        <v>-252923759.87871802</v>
      </c>
      <c r="BZ159" s="4">
        <v>-252923759.87871802</v>
      </c>
      <c r="CA159" s="4">
        <v>-252923759.87871802</v>
      </c>
      <c r="CB159" s="4">
        <v>-252923759.87871802</v>
      </c>
      <c r="CC159" s="4">
        <v>-252923759.87871802</v>
      </c>
      <c r="CD159" s="4">
        <v>-252923759.87871802</v>
      </c>
      <c r="CE159" s="4">
        <v>-252923759.87871802</v>
      </c>
      <c r="CF159" s="4">
        <v>-252923759.87871802</v>
      </c>
      <c r="CG159" s="4">
        <v>-252923759.87871802</v>
      </c>
      <c r="CH159" s="4">
        <v>-252923759.87871802</v>
      </c>
      <c r="CI159" s="4">
        <v>-252923759.87871802</v>
      </c>
      <c r="CJ159" s="35">
        <v>-252923759.87871802</v>
      </c>
      <c r="CK159" s="4">
        <v>-252923759.87871802</v>
      </c>
      <c r="CL159" s="35">
        <v>-252923759.87871802</v>
      </c>
      <c r="CM159" s="4">
        <v>-252923759.87871802</v>
      </c>
      <c r="CN159" s="4">
        <v>-252923759.87871802</v>
      </c>
      <c r="CO159" s="4">
        <v>-252923759.87871802</v>
      </c>
      <c r="CP159" s="4">
        <v>-252923759.87871802</v>
      </c>
      <c r="CQ159" s="4">
        <v>-252923759.87871802</v>
      </c>
      <c r="CR159" s="4">
        <v>-252923759.87871802</v>
      </c>
      <c r="CS159" s="4">
        <v>-252923759.87871802</v>
      </c>
    </row>
    <row r="160" spans="1:97" x14ac:dyDescent="0.25">
      <c r="A160" t="s">
        <v>164</v>
      </c>
      <c r="C160" s="23">
        <v>-74539565</v>
      </c>
      <c r="D160" s="4">
        <v>-74539565</v>
      </c>
      <c r="E160" s="4">
        <v>-74539565</v>
      </c>
      <c r="F160" s="4">
        <v>-74539565</v>
      </c>
      <c r="G160" s="4">
        <v>-74539565</v>
      </c>
      <c r="H160" s="4">
        <v>-74539565</v>
      </c>
      <c r="I160" s="4">
        <v>-74539565</v>
      </c>
      <c r="J160" s="4">
        <v>-74539565</v>
      </c>
      <c r="K160" s="4">
        <v>-74539565</v>
      </c>
      <c r="L160" s="23">
        <v>-74539565</v>
      </c>
      <c r="M160" s="4">
        <v>-74539565</v>
      </c>
      <c r="N160" s="4">
        <v>-74539565</v>
      </c>
      <c r="O160" s="23">
        <v>-74539565</v>
      </c>
      <c r="P160" s="4">
        <v>-74539565</v>
      </c>
      <c r="Q160" s="4">
        <v>-74851255</v>
      </c>
      <c r="R160" s="4">
        <v>-74851255</v>
      </c>
      <c r="S160" s="4">
        <v>-74851255</v>
      </c>
      <c r="T160" s="23">
        <v>-74851255</v>
      </c>
      <c r="U160" s="39">
        <v>-74851255</v>
      </c>
      <c r="V160" s="39">
        <v>-74851255</v>
      </c>
      <c r="W160" s="39">
        <v>-74851255</v>
      </c>
      <c r="X160" s="39">
        <v>-74851255</v>
      </c>
      <c r="Y160" s="23">
        <v>-74851255</v>
      </c>
      <c r="Z160" s="39">
        <v>-74851255</v>
      </c>
      <c r="AA160" s="39">
        <v>-74851255</v>
      </c>
      <c r="AB160" s="39">
        <v>-74851255</v>
      </c>
      <c r="AC160" s="39">
        <v>-74851255</v>
      </c>
      <c r="AD160" s="4">
        <v>-74851255</v>
      </c>
      <c r="AE160" s="4">
        <v>-74851255</v>
      </c>
      <c r="AF160" s="4">
        <v>-87916719.5</v>
      </c>
      <c r="AG160" s="4">
        <v>-87916719.5</v>
      </c>
      <c r="AH160" s="4">
        <v>-87916719.5</v>
      </c>
      <c r="AI160" s="4">
        <v>-87916719.5</v>
      </c>
      <c r="AJ160" s="23">
        <v>-87916719.5</v>
      </c>
      <c r="AK160" s="39">
        <v>-87916719.5</v>
      </c>
      <c r="AL160" s="39">
        <v>-87916719.5</v>
      </c>
      <c r="AM160" s="39">
        <v>-87916719.5</v>
      </c>
      <c r="AN160" s="39">
        <v>-87916719.5</v>
      </c>
      <c r="AO160" s="4">
        <v>-87916719.5</v>
      </c>
      <c r="AP160" s="23">
        <v>-87916719.5</v>
      </c>
      <c r="AQ160" s="4">
        <v>-87916719.5</v>
      </c>
      <c r="AR160" s="4">
        <v>-87916719.5</v>
      </c>
      <c r="AS160" s="4">
        <v>-87916719.5</v>
      </c>
      <c r="AT160" s="4">
        <v>-87916719.5</v>
      </c>
      <c r="AU160" s="4">
        <v>-87916719.5</v>
      </c>
      <c r="AV160" s="23">
        <v>-87916719.5</v>
      </c>
      <c r="AW160" s="4">
        <v>-87916719.5</v>
      </c>
      <c r="AX160" s="4">
        <v>-87916719.5</v>
      </c>
      <c r="AY160" s="4">
        <v>-87916719.5</v>
      </c>
      <c r="AZ160" s="4">
        <v>-87916719.5</v>
      </c>
      <c r="BA160" s="4">
        <v>-87916719.5</v>
      </c>
      <c r="BB160" s="23">
        <v>-87916719.5</v>
      </c>
      <c r="BC160" s="4">
        <v>-87916719.5</v>
      </c>
      <c r="BD160" s="4">
        <v>-87916719.5</v>
      </c>
      <c r="BE160" s="4">
        <v>-87916719.5</v>
      </c>
      <c r="BF160" s="4">
        <v>-87916719.5</v>
      </c>
      <c r="BG160" s="4">
        <v>-77032026</v>
      </c>
      <c r="BH160" s="4">
        <v>-77032026</v>
      </c>
      <c r="BI160" s="23">
        <v>-77032026</v>
      </c>
      <c r="BJ160" s="35">
        <v>-77032026</v>
      </c>
      <c r="BK160" s="4">
        <v>-77032026</v>
      </c>
      <c r="BL160" s="35">
        <v>-77032026</v>
      </c>
      <c r="BM160" s="4">
        <v>-77032026</v>
      </c>
      <c r="BN160" s="4">
        <v>-77032026</v>
      </c>
      <c r="BO160" s="4">
        <v>-77032026</v>
      </c>
      <c r="BP160" s="4">
        <v>-77032026</v>
      </c>
      <c r="BQ160" s="35">
        <v>-77032026</v>
      </c>
      <c r="BR160" s="4">
        <v>-77032026</v>
      </c>
      <c r="BS160" s="35">
        <v>-77032026</v>
      </c>
      <c r="BT160" s="4">
        <v>-77032026</v>
      </c>
      <c r="BU160" s="4">
        <v>-77032026</v>
      </c>
      <c r="BV160" s="4">
        <v>-77032026</v>
      </c>
      <c r="BW160" s="4">
        <v>-77032026</v>
      </c>
      <c r="BX160" s="4">
        <v>-77032026</v>
      </c>
      <c r="BY160" s="4">
        <v>-77032026</v>
      </c>
      <c r="BZ160" s="4">
        <v>-77032026</v>
      </c>
      <c r="CA160" s="4">
        <v>-77032026</v>
      </c>
      <c r="CB160" s="4">
        <v>-77032026</v>
      </c>
      <c r="CC160" s="4">
        <v>-77032026</v>
      </c>
      <c r="CD160" s="4">
        <v>-77032026</v>
      </c>
      <c r="CE160" s="4">
        <v>-77032026</v>
      </c>
      <c r="CF160" s="4">
        <v>-77032026</v>
      </c>
      <c r="CG160" s="4">
        <v>-77032026</v>
      </c>
      <c r="CH160" s="4">
        <v>-77032026</v>
      </c>
      <c r="CI160" s="4">
        <v>-77032026</v>
      </c>
      <c r="CJ160" s="35">
        <v>-77032026</v>
      </c>
      <c r="CK160" s="4">
        <v>-77032026</v>
      </c>
      <c r="CL160" s="35">
        <v>-77032026</v>
      </c>
      <c r="CM160" s="4">
        <v>-77032026</v>
      </c>
      <c r="CN160" s="4">
        <v>-77032026</v>
      </c>
      <c r="CO160" s="4">
        <v>-77032026</v>
      </c>
      <c r="CP160" s="4">
        <v>-77032026</v>
      </c>
      <c r="CQ160" s="4">
        <v>-77032026</v>
      </c>
      <c r="CR160" s="4">
        <v>-77032026</v>
      </c>
      <c r="CS160" s="4">
        <v>-77032026</v>
      </c>
    </row>
    <row r="161" spans="1:97" x14ac:dyDescent="0.25">
      <c r="A161" t="s">
        <v>165</v>
      </c>
      <c r="C161" s="23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  <c r="L161" s="23">
        <v>0</v>
      </c>
      <c r="M161" s="4">
        <v>0</v>
      </c>
      <c r="N161" s="4">
        <v>0</v>
      </c>
      <c r="O161" s="23">
        <v>0</v>
      </c>
      <c r="P161" s="4">
        <v>0</v>
      </c>
      <c r="Q161" s="4">
        <v>0</v>
      </c>
      <c r="R161" s="4">
        <v>0</v>
      </c>
      <c r="S161" s="4">
        <v>0</v>
      </c>
      <c r="T161" s="23">
        <v>0</v>
      </c>
      <c r="U161" s="39">
        <v>0</v>
      </c>
      <c r="V161" s="39">
        <v>0</v>
      </c>
      <c r="W161" s="39">
        <v>0</v>
      </c>
      <c r="X161" s="39">
        <v>0</v>
      </c>
      <c r="Y161" s="23">
        <v>0</v>
      </c>
      <c r="Z161" s="39">
        <v>0</v>
      </c>
      <c r="AA161" s="39">
        <v>0</v>
      </c>
      <c r="AB161" s="39">
        <v>0</v>
      </c>
      <c r="AC161" s="39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23">
        <v>0</v>
      </c>
      <c r="AK161" s="39">
        <v>0</v>
      </c>
      <c r="AL161" s="39">
        <v>0</v>
      </c>
      <c r="AM161" s="39">
        <v>0</v>
      </c>
      <c r="AN161" s="39">
        <v>0</v>
      </c>
      <c r="AO161" s="4">
        <v>0</v>
      </c>
      <c r="AP161" s="23">
        <v>0</v>
      </c>
      <c r="AQ161" s="4">
        <v>0</v>
      </c>
      <c r="AR161" s="4">
        <v>0</v>
      </c>
      <c r="AS161" s="4">
        <v>0</v>
      </c>
      <c r="AT161" s="4">
        <v>0</v>
      </c>
      <c r="AU161" s="4">
        <v>0</v>
      </c>
      <c r="AV161" s="23">
        <v>0</v>
      </c>
      <c r="AW161" s="4">
        <v>0</v>
      </c>
      <c r="AX161" s="4">
        <v>0</v>
      </c>
      <c r="AY161" s="4">
        <v>0</v>
      </c>
      <c r="AZ161" s="4">
        <v>0</v>
      </c>
      <c r="BA161" s="4">
        <v>0</v>
      </c>
      <c r="BB161" s="23">
        <v>0</v>
      </c>
      <c r="BC161" s="4">
        <v>0</v>
      </c>
      <c r="BD161" s="4">
        <v>0</v>
      </c>
      <c r="BE161" s="4">
        <v>0</v>
      </c>
      <c r="BF161" s="4">
        <v>0</v>
      </c>
      <c r="BG161" s="4">
        <v>0</v>
      </c>
      <c r="BH161" s="4">
        <v>0</v>
      </c>
      <c r="BI161" s="23">
        <v>0</v>
      </c>
      <c r="BJ161" s="35">
        <v>0</v>
      </c>
      <c r="BK161" s="4">
        <v>0</v>
      </c>
      <c r="BL161" s="35">
        <v>0</v>
      </c>
      <c r="BM161" s="4">
        <v>0</v>
      </c>
      <c r="BN161" s="4">
        <v>0</v>
      </c>
      <c r="BO161" s="4">
        <v>0</v>
      </c>
      <c r="BP161" s="4">
        <v>0</v>
      </c>
      <c r="BQ161" s="35">
        <v>0</v>
      </c>
      <c r="BR161" s="4">
        <v>0</v>
      </c>
      <c r="BS161" s="35">
        <v>0</v>
      </c>
      <c r="BT161" s="4">
        <v>0</v>
      </c>
      <c r="BU161" s="4">
        <v>0</v>
      </c>
      <c r="BV161" s="4">
        <v>0</v>
      </c>
      <c r="BW161" s="4">
        <v>0</v>
      </c>
      <c r="BX161" s="4">
        <v>0</v>
      </c>
      <c r="BY161" s="4">
        <v>0</v>
      </c>
      <c r="BZ161" s="4">
        <v>0</v>
      </c>
      <c r="CA161" s="4">
        <v>0</v>
      </c>
      <c r="CB161" s="4">
        <v>0</v>
      </c>
      <c r="CC161" s="4">
        <v>0</v>
      </c>
      <c r="CD161" s="4">
        <v>0</v>
      </c>
      <c r="CE161" s="4">
        <v>0</v>
      </c>
      <c r="CF161" s="4">
        <v>0</v>
      </c>
      <c r="CG161" s="4">
        <v>0</v>
      </c>
      <c r="CH161" s="4">
        <v>0</v>
      </c>
      <c r="CI161" s="4">
        <v>0</v>
      </c>
      <c r="CJ161" s="35">
        <v>0</v>
      </c>
      <c r="CK161" s="4">
        <v>0</v>
      </c>
      <c r="CL161" s="35">
        <v>0</v>
      </c>
      <c r="CM161" s="4">
        <v>0</v>
      </c>
      <c r="CN161" s="4">
        <v>0</v>
      </c>
      <c r="CO161" s="4">
        <v>0</v>
      </c>
      <c r="CP161" s="4">
        <v>0</v>
      </c>
      <c r="CQ161" s="4">
        <v>0</v>
      </c>
      <c r="CR161" s="4">
        <v>0</v>
      </c>
      <c r="CS161" s="4">
        <v>0</v>
      </c>
    </row>
    <row r="162" spans="1:97" x14ac:dyDescent="0.25">
      <c r="A162" t="s">
        <v>131</v>
      </c>
      <c r="C162" s="23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  <c r="L162" s="23">
        <v>0</v>
      </c>
      <c r="M162" s="4">
        <v>0</v>
      </c>
      <c r="N162" s="4">
        <v>0</v>
      </c>
      <c r="O162" s="23">
        <v>0</v>
      </c>
      <c r="P162" s="4">
        <v>0</v>
      </c>
      <c r="Q162" s="4">
        <v>0</v>
      </c>
      <c r="R162" s="4">
        <v>0</v>
      </c>
      <c r="S162" s="4">
        <v>0</v>
      </c>
      <c r="T162" s="23">
        <v>0</v>
      </c>
      <c r="U162" s="39">
        <v>0</v>
      </c>
      <c r="V162" s="39">
        <v>0</v>
      </c>
      <c r="W162" s="39">
        <v>0</v>
      </c>
      <c r="X162" s="39">
        <v>0</v>
      </c>
      <c r="Y162" s="23">
        <v>0</v>
      </c>
      <c r="Z162" s="39">
        <v>0</v>
      </c>
      <c r="AA162" s="39">
        <v>0</v>
      </c>
      <c r="AB162" s="39">
        <v>0</v>
      </c>
      <c r="AC162" s="39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23">
        <v>0</v>
      </c>
      <c r="AK162" s="39">
        <v>0</v>
      </c>
      <c r="AL162" s="39">
        <v>0</v>
      </c>
      <c r="AM162" s="39">
        <v>0</v>
      </c>
      <c r="AN162" s="39">
        <v>0</v>
      </c>
      <c r="AO162" s="4">
        <v>0</v>
      </c>
      <c r="AP162" s="23">
        <v>0</v>
      </c>
      <c r="AQ162" s="4">
        <v>0</v>
      </c>
      <c r="AR162" s="4">
        <v>0</v>
      </c>
      <c r="AS162" s="4">
        <v>0</v>
      </c>
      <c r="AT162" s="4">
        <v>0</v>
      </c>
      <c r="AU162" s="4">
        <v>0</v>
      </c>
      <c r="AV162" s="23">
        <v>0</v>
      </c>
      <c r="AW162" s="4">
        <v>0</v>
      </c>
      <c r="AX162" s="4">
        <v>0</v>
      </c>
      <c r="AY162" s="4">
        <v>0</v>
      </c>
      <c r="AZ162" s="4">
        <v>0</v>
      </c>
      <c r="BA162" s="4">
        <v>0</v>
      </c>
      <c r="BB162" s="23">
        <v>0</v>
      </c>
      <c r="BC162" s="4">
        <v>0</v>
      </c>
      <c r="BD162" s="4">
        <v>0</v>
      </c>
      <c r="BE162" s="4">
        <v>0</v>
      </c>
      <c r="BF162" s="4">
        <v>0</v>
      </c>
      <c r="BG162" s="4">
        <v>0</v>
      </c>
      <c r="BH162" s="4">
        <v>0</v>
      </c>
      <c r="BI162" s="23">
        <v>0</v>
      </c>
      <c r="BJ162" s="35">
        <v>0</v>
      </c>
      <c r="BK162" s="4">
        <v>0</v>
      </c>
      <c r="BL162" s="35">
        <v>0</v>
      </c>
      <c r="BM162" s="4">
        <v>0</v>
      </c>
      <c r="BN162" s="4">
        <v>0</v>
      </c>
      <c r="BO162" s="4">
        <v>0</v>
      </c>
      <c r="BP162" s="4">
        <v>0</v>
      </c>
      <c r="BQ162" s="35">
        <v>0</v>
      </c>
      <c r="BR162" s="4">
        <v>0</v>
      </c>
      <c r="BS162" s="35">
        <v>0</v>
      </c>
      <c r="BT162" s="4">
        <v>0</v>
      </c>
      <c r="BU162" s="4">
        <v>0</v>
      </c>
      <c r="BV162" s="4">
        <v>0</v>
      </c>
      <c r="BW162" s="4">
        <v>0</v>
      </c>
      <c r="BX162" s="4">
        <v>0</v>
      </c>
      <c r="BY162" s="4">
        <v>0</v>
      </c>
      <c r="BZ162" s="4">
        <v>0</v>
      </c>
      <c r="CA162" s="4">
        <v>0</v>
      </c>
      <c r="CB162" s="4">
        <v>0</v>
      </c>
      <c r="CC162" s="4">
        <v>0</v>
      </c>
      <c r="CD162" s="4">
        <v>0</v>
      </c>
      <c r="CE162" s="4">
        <v>0</v>
      </c>
      <c r="CF162" s="4">
        <v>0</v>
      </c>
      <c r="CG162" s="4">
        <v>0</v>
      </c>
      <c r="CH162" s="4">
        <v>0</v>
      </c>
      <c r="CI162" s="4">
        <v>0</v>
      </c>
      <c r="CJ162" s="35">
        <v>0</v>
      </c>
      <c r="CK162" s="4">
        <v>0</v>
      </c>
      <c r="CL162" s="35">
        <v>0</v>
      </c>
      <c r="CM162" s="4">
        <v>0</v>
      </c>
      <c r="CN162" s="4">
        <v>0</v>
      </c>
      <c r="CO162" s="4">
        <v>0</v>
      </c>
      <c r="CP162" s="4">
        <v>0</v>
      </c>
      <c r="CQ162" s="4">
        <v>0</v>
      </c>
      <c r="CR162" s="4">
        <v>0</v>
      </c>
      <c r="CS162" s="4">
        <v>0</v>
      </c>
    </row>
    <row r="163" spans="1:97" x14ac:dyDescent="0.25">
      <c r="A163" t="s">
        <v>132</v>
      </c>
      <c r="C163" s="23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  <c r="L163" s="23">
        <v>0</v>
      </c>
      <c r="M163" s="4">
        <v>0</v>
      </c>
      <c r="N163" s="4">
        <v>0</v>
      </c>
      <c r="O163" s="23">
        <v>0</v>
      </c>
      <c r="P163" s="4">
        <v>0</v>
      </c>
      <c r="Q163" s="4">
        <v>-56127.740000000005</v>
      </c>
      <c r="R163" s="4">
        <v>-56127.740000000005</v>
      </c>
      <c r="S163" s="4">
        <v>-56127.740000000005</v>
      </c>
      <c r="T163" s="23">
        <v>-56127.740000000005</v>
      </c>
      <c r="U163" s="39">
        <v>-56127.740000000005</v>
      </c>
      <c r="V163" s="39">
        <v>-56127.740000000005</v>
      </c>
      <c r="W163" s="39">
        <v>-56127.740000000005</v>
      </c>
      <c r="X163" s="39">
        <v>-56127.740000000005</v>
      </c>
      <c r="Y163" s="23">
        <v>-56127.740000000005</v>
      </c>
      <c r="Z163" s="39">
        <v>-56127.740000000005</v>
      </c>
      <c r="AA163" s="39">
        <v>-56127.740000000005</v>
      </c>
      <c r="AB163" s="39">
        <v>-56127.740000000005</v>
      </c>
      <c r="AC163" s="39">
        <v>-56127.740000000005</v>
      </c>
      <c r="AD163" s="43">
        <v>-56127.740000000005</v>
      </c>
      <c r="AE163" s="4">
        <v>-56127.740000000005</v>
      </c>
      <c r="AF163" s="4">
        <v>0</v>
      </c>
      <c r="AG163" s="4">
        <v>0</v>
      </c>
      <c r="AH163" s="4">
        <v>0</v>
      </c>
      <c r="AI163" s="4">
        <v>0</v>
      </c>
      <c r="AJ163" s="23">
        <v>0</v>
      </c>
      <c r="AK163" s="39">
        <v>0</v>
      </c>
      <c r="AL163" s="39">
        <v>0</v>
      </c>
      <c r="AM163" s="39">
        <v>0</v>
      </c>
      <c r="AN163" s="39">
        <v>0</v>
      </c>
      <c r="AO163" s="4">
        <v>0</v>
      </c>
      <c r="AP163" s="23">
        <v>0</v>
      </c>
      <c r="AQ163" s="4">
        <v>0</v>
      </c>
      <c r="AR163" s="4">
        <v>0</v>
      </c>
      <c r="AS163" s="4">
        <v>0</v>
      </c>
      <c r="AT163" s="4">
        <v>0</v>
      </c>
      <c r="AU163" s="4">
        <v>0</v>
      </c>
      <c r="AV163" s="23">
        <v>0</v>
      </c>
      <c r="AW163" s="4">
        <v>0</v>
      </c>
      <c r="AX163" s="4">
        <v>0</v>
      </c>
      <c r="AY163" s="4">
        <v>0</v>
      </c>
      <c r="AZ163" s="4">
        <v>0</v>
      </c>
      <c r="BA163" s="4">
        <v>0</v>
      </c>
      <c r="BB163" s="23">
        <v>0</v>
      </c>
      <c r="BC163" s="4">
        <v>0</v>
      </c>
      <c r="BD163" s="4">
        <v>0</v>
      </c>
      <c r="BE163" s="4">
        <v>0</v>
      </c>
      <c r="BF163" s="43">
        <v>0</v>
      </c>
      <c r="BG163" s="4">
        <v>0</v>
      </c>
      <c r="BH163" s="4">
        <v>0</v>
      </c>
      <c r="BI163" s="23">
        <v>0</v>
      </c>
      <c r="BJ163" s="35">
        <v>0</v>
      </c>
      <c r="BK163" s="4">
        <v>0</v>
      </c>
      <c r="BL163" s="35">
        <v>0</v>
      </c>
      <c r="BM163" s="4">
        <v>0</v>
      </c>
      <c r="BN163" s="4">
        <v>0</v>
      </c>
      <c r="BO163" s="4">
        <v>0</v>
      </c>
      <c r="BP163" s="4">
        <v>0</v>
      </c>
      <c r="BQ163" s="35">
        <v>0</v>
      </c>
      <c r="BR163" s="4">
        <v>0</v>
      </c>
      <c r="BS163" s="35">
        <v>0</v>
      </c>
      <c r="BT163" s="4">
        <v>0</v>
      </c>
      <c r="BU163" s="4">
        <v>0</v>
      </c>
      <c r="BV163" s="4">
        <v>0</v>
      </c>
      <c r="BW163" s="4">
        <v>0</v>
      </c>
      <c r="BX163" s="4">
        <v>0</v>
      </c>
      <c r="BY163" s="4">
        <v>0</v>
      </c>
      <c r="BZ163" s="4">
        <v>0</v>
      </c>
      <c r="CA163" s="4">
        <v>0</v>
      </c>
      <c r="CB163" s="4">
        <v>0</v>
      </c>
      <c r="CC163" s="4">
        <v>0</v>
      </c>
      <c r="CD163" s="4">
        <v>0</v>
      </c>
      <c r="CE163" s="4">
        <v>0</v>
      </c>
      <c r="CF163" s="4">
        <v>0</v>
      </c>
      <c r="CG163" s="4">
        <v>0</v>
      </c>
      <c r="CH163" s="4">
        <v>0</v>
      </c>
      <c r="CI163" s="4">
        <v>0</v>
      </c>
      <c r="CJ163" s="35">
        <v>0</v>
      </c>
      <c r="CK163" s="4">
        <v>0</v>
      </c>
      <c r="CL163" s="35">
        <v>0</v>
      </c>
      <c r="CM163" s="4">
        <v>0</v>
      </c>
      <c r="CN163" s="4">
        <v>0</v>
      </c>
      <c r="CO163" s="4">
        <v>0</v>
      </c>
      <c r="CP163" s="4">
        <v>0</v>
      </c>
      <c r="CQ163" s="4">
        <v>0</v>
      </c>
      <c r="CR163" s="4">
        <v>0</v>
      </c>
      <c r="CS163" s="4">
        <v>0</v>
      </c>
    </row>
    <row r="164" spans="1:97" x14ac:dyDescent="0.25">
      <c r="A164" t="s">
        <v>133</v>
      </c>
      <c r="C164" s="23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  <c r="L164" s="23">
        <v>0</v>
      </c>
      <c r="M164" s="4">
        <v>0</v>
      </c>
      <c r="N164" s="4">
        <v>0</v>
      </c>
      <c r="O164" s="23">
        <v>0</v>
      </c>
      <c r="P164" s="4">
        <v>0</v>
      </c>
      <c r="Q164" s="4">
        <v>0</v>
      </c>
      <c r="R164" s="4">
        <v>0</v>
      </c>
      <c r="S164" s="4">
        <v>0</v>
      </c>
      <c r="T164" s="23">
        <v>0</v>
      </c>
      <c r="U164" s="39">
        <v>0</v>
      </c>
      <c r="V164" s="39">
        <v>0</v>
      </c>
      <c r="W164" s="39">
        <v>0</v>
      </c>
      <c r="X164" s="39">
        <v>0</v>
      </c>
      <c r="Y164" s="23">
        <v>0</v>
      </c>
      <c r="Z164" s="39">
        <v>0</v>
      </c>
      <c r="AA164" s="39">
        <v>0</v>
      </c>
      <c r="AB164" s="39">
        <v>0</v>
      </c>
      <c r="AC164" s="39">
        <v>0</v>
      </c>
      <c r="AD164" s="43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23">
        <v>0</v>
      </c>
      <c r="AK164" s="39">
        <v>0</v>
      </c>
      <c r="AL164" s="39">
        <v>0</v>
      </c>
      <c r="AM164" s="39">
        <v>0</v>
      </c>
      <c r="AN164" s="39">
        <v>0</v>
      </c>
      <c r="AO164" s="4">
        <v>0</v>
      </c>
      <c r="AP164" s="23">
        <v>0</v>
      </c>
      <c r="AQ164" s="4">
        <v>0</v>
      </c>
      <c r="AR164" s="4">
        <v>0</v>
      </c>
      <c r="AS164" s="4">
        <v>0</v>
      </c>
      <c r="AT164" s="4">
        <v>0</v>
      </c>
      <c r="AU164" s="4">
        <v>0</v>
      </c>
      <c r="AV164" s="23">
        <v>0</v>
      </c>
      <c r="AW164" s="4">
        <v>0</v>
      </c>
      <c r="AX164" s="4">
        <v>0</v>
      </c>
      <c r="AY164" s="4">
        <v>0</v>
      </c>
      <c r="AZ164" s="4">
        <v>0</v>
      </c>
      <c r="BA164" s="4">
        <v>0</v>
      </c>
      <c r="BB164" s="23">
        <v>0</v>
      </c>
      <c r="BC164" s="4">
        <v>0</v>
      </c>
      <c r="BD164" s="4">
        <v>0</v>
      </c>
      <c r="BE164" s="4">
        <v>0</v>
      </c>
      <c r="BF164" s="43">
        <v>0</v>
      </c>
      <c r="BG164" s="4">
        <v>0</v>
      </c>
      <c r="BH164" s="4">
        <v>0</v>
      </c>
      <c r="BI164" s="23">
        <v>0</v>
      </c>
      <c r="BJ164" s="35">
        <v>0</v>
      </c>
      <c r="BK164" s="4">
        <v>0</v>
      </c>
      <c r="BL164" s="35">
        <v>0</v>
      </c>
      <c r="BM164" s="4">
        <v>0</v>
      </c>
      <c r="BN164" s="4">
        <v>0</v>
      </c>
      <c r="BO164" s="4">
        <v>0</v>
      </c>
      <c r="BP164" s="4">
        <v>0</v>
      </c>
      <c r="BQ164" s="35">
        <v>0</v>
      </c>
      <c r="BR164" s="4">
        <v>0</v>
      </c>
      <c r="BS164" s="35">
        <v>0</v>
      </c>
      <c r="BT164" s="4">
        <v>0</v>
      </c>
      <c r="BU164" s="4">
        <v>0</v>
      </c>
      <c r="BV164" s="4">
        <v>0</v>
      </c>
      <c r="BW164" s="4">
        <v>0</v>
      </c>
      <c r="BX164" s="4">
        <v>0</v>
      </c>
      <c r="BY164" s="4">
        <v>0</v>
      </c>
      <c r="BZ164" s="4">
        <v>0</v>
      </c>
      <c r="CA164" s="4">
        <v>0</v>
      </c>
      <c r="CB164" s="4">
        <v>0</v>
      </c>
      <c r="CC164" s="4">
        <v>0</v>
      </c>
      <c r="CD164" s="4">
        <v>0</v>
      </c>
      <c r="CE164" s="4">
        <v>0</v>
      </c>
      <c r="CF164" s="4">
        <v>0</v>
      </c>
      <c r="CG164" s="4">
        <v>0</v>
      </c>
      <c r="CH164" s="4">
        <v>0</v>
      </c>
      <c r="CI164" s="4">
        <v>0</v>
      </c>
      <c r="CJ164" s="35">
        <v>0</v>
      </c>
      <c r="CK164" s="4">
        <v>0</v>
      </c>
      <c r="CL164" s="35">
        <v>0</v>
      </c>
      <c r="CM164" s="4">
        <v>0</v>
      </c>
      <c r="CN164" s="4">
        <v>0</v>
      </c>
      <c r="CO164" s="4">
        <v>0</v>
      </c>
      <c r="CP164" s="4">
        <v>0</v>
      </c>
      <c r="CQ164" s="4">
        <v>0</v>
      </c>
      <c r="CR164" s="4">
        <v>0</v>
      </c>
      <c r="CS164" s="4">
        <v>0</v>
      </c>
    </row>
    <row r="167" spans="1:97" s="20" customFormat="1" x14ac:dyDescent="0.25">
      <c r="A167" s="19" t="s">
        <v>182</v>
      </c>
      <c r="C167" s="24"/>
      <c r="K167" s="26"/>
      <c r="L167" s="24"/>
      <c r="O167" s="24"/>
      <c r="R167" s="26"/>
      <c r="S167" s="26"/>
      <c r="T167" s="24"/>
      <c r="U167" s="40"/>
      <c r="V167" s="40"/>
      <c r="W167" s="40"/>
      <c r="X167" s="40"/>
      <c r="Y167" s="24"/>
      <c r="Z167" s="40"/>
      <c r="AA167" s="40"/>
      <c r="AB167" s="40"/>
      <c r="AC167" s="40"/>
      <c r="AD167" s="44"/>
      <c r="AJ167" s="24"/>
      <c r="AK167" s="40"/>
      <c r="AL167" s="40"/>
      <c r="AM167" s="40"/>
      <c r="AN167" s="40"/>
      <c r="AP167" s="24"/>
      <c r="AV167" s="24"/>
      <c r="BB167" s="24"/>
      <c r="BF167" s="44"/>
      <c r="BH167" s="26"/>
      <c r="BI167" s="24"/>
      <c r="BJ167" s="36"/>
      <c r="BL167" s="36"/>
      <c r="BM167" s="20" t="s">
        <v>197</v>
      </c>
      <c r="BP167" s="20" t="s">
        <v>198</v>
      </c>
      <c r="BQ167" s="36"/>
      <c r="BS167" s="36"/>
      <c r="CJ167" s="36"/>
      <c r="CL167" s="36"/>
    </row>
    <row r="168" spans="1:97" s="20" customFormat="1" x14ac:dyDescent="0.25">
      <c r="A168" s="21" t="s">
        <v>19</v>
      </c>
      <c r="C168" s="24">
        <f>SUM(C19:C22)</f>
        <v>1517011276.5700002</v>
      </c>
      <c r="D168" s="20">
        <f t="shared" ref="D168:BO168" si="29">SUM(D19:D22)</f>
        <v>1517011276.5700002</v>
      </c>
      <c r="E168" s="20">
        <f t="shared" si="29"/>
        <v>1517011276.5700002</v>
      </c>
      <c r="F168" s="20">
        <f t="shared" si="29"/>
        <v>1517011276.5700002</v>
      </c>
      <c r="G168" s="20">
        <f t="shared" si="29"/>
        <v>1517011276.5700002</v>
      </c>
      <c r="H168" s="20">
        <f t="shared" si="29"/>
        <v>1517011276.5700002</v>
      </c>
      <c r="I168" s="20">
        <f t="shared" si="29"/>
        <v>1517011276.5700002</v>
      </c>
      <c r="J168" s="20">
        <f t="shared" si="29"/>
        <v>1517011276.5700002</v>
      </c>
      <c r="K168" s="26">
        <f t="shared" si="29"/>
        <v>1517011276.5700002</v>
      </c>
      <c r="L168" s="24">
        <f t="shared" si="29"/>
        <v>1517011276.5700002</v>
      </c>
      <c r="M168" s="20">
        <f t="shared" si="29"/>
        <v>1667011276.5700002</v>
      </c>
      <c r="N168" s="20">
        <f t="shared" si="29"/>
        <v>1367011276.5700002</v>
      </c>
      <c r="O168" s="24">
        <f t="shared" si="29"/>
        <v>1417011276.5700002</v>
      </c>
      <c r="P168" s="20">
        <f t="shared" si="29"/>
        <v>1617011276.5700002</v>
      </c>
      <c r="Q168" s="20">
        <f t="shared" si="29"/>
        <v>1106264606.9399998</v>
      </c>
      <c r="R168" s="26">
        <f t="shared" si="29"/>
        <v>1206264606.9399998</v>
      </c>
      <c r="S168" s="26">
        <f t="shared" si="29"/>
        <v>1146264606.9399998</v>
      </c>
      <c r="T168" s="24">
        <f t="shared" si="29"/>
        <v>1166264606.9399998</v>
      </c>
      <c r="U168" s="40">
        <f t="shared" si="29"/>
        <v>1156264606.9399998</v>
      </c>
      <c r="V168" s="40">
        <f t="shared" si="29"/>
        <v>1156264606.9399998</v>
      </c>
      <c r="W168" s="40">
        <f t="shared" si="29"/>
        <v>1156264606.9399998</v>
      </c>
      <c r="X168" s="40">
        <f t="shared" si="29"/>
        <v>1156264606.9399998</v>
      </c>
      <c r="Y168" s="24">
        <f t="shared" si="29"/>
        <v>1156264606.9399998</v>
      </c>
      <c r="Z168" s="40">
        <f t="shared" si="29"/>
        <v>1156264606.9399998</v>
      </c>
      <c r="AA168" s="40">
        <f t="shared" si="29"/>
        <v>1156264606.9399998</v>
      </c>
      <c r="AB168" s="40">
        <f t="shared" si="29"/>
        <v>1156264606.9399998</v>
      </c>
      <c r="AC168" s="40">
        <f t="shared" si="29"/>
        <v>1156264606.9399998</v>
      </c>
      <c r="AD168" s="44">
        <f t="shared" si="29"/>
        <v>1156264606.9399998</v>
      </c>
      <c r="AE168" s="20">
        <f t="shared" si="29"/>
        <v>1156264606.9399998</v>
      </c>
      <c r="AF168" s="20">
        <f t="shared" si="29"/>
        <v>1159869569.6900001</v>
      </c>
      <c r="AG168" s="20">
        <f t="shared" si="29"/>
        <v>1159869569.6900001</v>
      </c>
      <c r="AH168" s="20">
        <f t="shared" si="29"/>
        <v>1159869569.6900001</v>
      </c>
      <c r="AI168" s="20">
        <f t="shared" si="29"/>
        <v>1159869569.6900001</v>
      </c>
      <c r="AJ168" s="24">
        <f t="shared" si="29"/>
        <v>1159869569.6900001</v>
      </c>
      <c r="AK168" s="40">
        <f t="shared" si="29"/>
        <v>1159869569.6900001</v>
      </c>
      <c r="AL168" s="40">
        <f t="shared" si="29"/>
        <v>1159869569.6900001</v>
      </c>
      <c r="AM168" s="40">
        <f t="shared" si="29"/>
        <v>1159869569.6900001</v>
      </c>
      <c r="AN168" s="40">
        <f t="shared" si="29"/>
        <v>1159869569.6900001</v>
      </c>
      <c r="AO168" s="20">
        <f t="shared" si="29"/>
        <v>1159869569.6900001</v>
      </c>
      <c r="AP168" s="24">
        <f t="shared" si="29"/>
        <v>1159869569.6900001</v>
      </c>
      <c r="AQ168" s="20">
        <f t="shared" si="29"/>
        <v>1159869569.6900001</v>
      </c>
      <c r="AR168" s="20">
        <f t="shared" si="29"/>
        <v>1159869569.6900001</v>
      </c>
      <c r="AS168" s="20">
        <f t="shared" si="29"/>
        <v>1159869569.6900001</v>
      </c>
      <c r="AT168" s="20">
        <f t="shared" si="29"/>
        <v>1159869569.6900001</v>
      </c>
      <c r="AU168" s="20">
        <f t="shared" si="29"/>
        <v>1179869569.6900001</v>
      </c>
      <c r="AV168" s="24">
        <f t="shared" si="29"/>
        <v>1139869569.6900001</v>
      </c>
      <c r="AW168" s="20">
        <f t="shared" si="29"/>
        <v>1174869569.6900001</v>
      </c>
      <c r="AX168" s="20">
        <f t="shared" si="29"/>
        <v>1144869569.6900001</v>
      </c>
      <c r="AY168" s="20">
        <f t="shared" si="29"/>
        <v>1159869569.6900001</v>
      </c>
      <c r="AZ168" s="20">
        <f t="shared" si="29"/>
        <v>1159869569.6900001</v>
      </c>
      <c r="BA168" s="20">
        <f t="shared" si="29"/>
        <v>1159869569.6900001</v>
      </c>
      <c r="BB168" s="24">
        <f t="shared" si="29"/>
        <v>1159869569.6900001</v>
      </c>
      <c r="BC168" s="20">
        <f t="shared" si="29"/>
        <v>1159869569.6900001</v>
      </c>
      <c r="BD168" s="20">
        <f t="shared" si="29"/>
        <v>1159869569.6900001</v>
      </c>
      <c r="BE168" s="20">
        <f t="shared" si="29"/>
        <v>1159869569.6900001</v>
      </c>
      <c r="BF168" s="44">
        <f t="shared" si="29"/>
        <v>1159869569.6900001</v>
      </c>
      <c r="BG168" s="20">
        <f t="shared" si="29"/>
        <v>1183595582.3384001</v>
      </c>
      <c r="BH168" s="26">
        <f t="shared" si="29"/>
        <v>1183595582.3384001</v>
      </c>
      <c r="BI168" s="24">
        <f t="shared" si="29"/>
        <v>1183595582.3384001</v>
      </c>
      <c r="BJ168" s="36">
        <f t="shared" si="29"/>
        <v>1168595582.3384001</v>
      </c>
      <c r="BK168" s="20">
        <f t="shared" si="29"/>
        <v>1198595582.3384001</v>
      </c>
      <c r="BL168" s="36">
        <f t="shared" si="29"/>
        <v>1168595582.3384001</v>
      </c>
      <c r="BM168" s="20">
        <f t="shared" si="29"/>
        <v>1198595582.3384001</v>
      </c>
      <c r="BN168" s="20">
        <f t="shared" si="29"/>
        <v>1143595582.3384001</v>
      </c>
      <c r="BO168" s="20">
        <f t="shared" si="29"/>
        <v>1223595582.3384001</v>
      </c>
      <c r="BP168" s="20">
        <f t="shared" ref="BP168:CS168" si="30">SUM(BP19:BP22)</f>
        <v>1168595582.3384001</v>
      </c>
      <c r="BQ168" s="36">
        <f t="shared" si="30"/>
        <v>1198595582.3384001</v>
      </c>
      <c r="BR168" s="20">
        <f t="shared" si="30"/>
        <v>1168595582.3384001</v>
      </c>
      <c r="BS168" s="36">
        <f t="shared" si="30"/>
        <v>1198595582.3384001</v>
      </c>
      <c r="BT168" s="20">
        <f t="shared" si="30"/>
        <v>1183595582.3384001</v>
      </c>
      <c r="BU168" s="20">
        <f t="shared" si="30"/>
        <v>1188595582.3384001</v>
      </c>
      <c r="BV168" s="20">
        <f t="shared" si="30"/>
        <v>1178595582.3384001</v>
      </c>
      <c r="BW168" s="20">
        <f t="shared" si="30"/>
        <v>1183595582.3384001</v>
      </c>
      <c r="BX168" s="20">
        <f t="shared" si="30"/>
        <v>1188595582.3384001</v>
      </c>
      <c r="BY168" s="20">
        <f t="shared" si="30"/>
        <v>1178595582.3384001</v>
      </c>
      <c r="BZ168" s="20">
        <f t="shared" si="30"/>
        <v>1183595582.3384001</v>
      </c>
      <c r="CA168" s="20">
        <f t="shared" si="30"/>
        <v>1193595582.3384001</v>
      </c>
      <c r="CB168" s="20">
        <f t="shared" si="30"/>
        <v>1173595582.3384001</v>
      </c>
      <c r="CC168" s="20">
        <f t="shared" si="30"/>
        <v>1183595582.3384001</v>
      </c>
      <c r="CD168" s="20">
        <f t="shared" si="30"/>
        <v>1193595582.3384001</v>
      </c>
      <c r="CE168" s="20">
        <f t="shared" si="30"/>
        <v>1173595582.3384001</v>
      </c>
      <c r="CF168" s="20">
        <f t="shared" si="30"/>
        <v>1213595582.3384001</v>
      </c>
      <c r="CG168" s="20">
        <f t="shared" si="30"/>
        <v>1153595582.3384001</v>
      </c>
      <c r="CH168" s="20">
        <f t="shared" si="30"/>
        <v>1188595582.3384001</v>
      </c>
      <c r="CI168" s="20">
        <f t="shared" si="30"/>
        <v>1178595582.3384001</v>
      </c>
      <c r="CJ168" s="36">
        <f t="shared" si="30"/>
        <v>1188595582.3384001</v>
      </c>
      <c r="CK168" s="20">
        <f t="shared" si="30"/>
        <v>1178595582.3384001</v>
      </c>
      <c r="CL168" s="36">
        <f t="shared" si="30"/>
        <v>1193595582.3384001</v>
      </c>
      <c r="CM168" s="20">
        <f t="shared" si="30"/>
        <v>1173595582.3384001</v>
      </c>
      <c r="CN168" s="20">
        <f t="shared" si="30"/>
        <v>1193595582.3384001</v>
      </c>
      <c r="CO168" s="20">
        <f t="shared" si="30"/>
        <v>1173595582.3384001</v>
      </c>
      <c r="CP168" s="20">
        <f t="shared" si="30"/>
        <v>1198595582.3384001</v>
      </c>
      <c r="CQ168" s="20">
        <f t="shared" si="30"/>
        <v>1168595582.3384001</v>
      </c>
      <c r="CR168" s="20">
        <f t="shared" si="30"/>
        <v>1198595582.3384001</v>
      </c>
      <c r="CS168" s="20">
        <f t="shared" si="30"/>
        <v>1168595582.3384001</v>
      </c>
    </row>
    <row r="169" spans="1:97" s="20" customFormat="1" x14ac:dyDescent="0.25">
      <c r="A169" s="21" t="s">
        <v>168</v>
      </c>
      <c r="C169" s="24">
        <f>(C25+C26+C27)+(C30*0.85)+(C31*0.95)+(C32*0.9)+(C33*0.85)</f>
        <v>3104895283.7615004</v>
      </c>
      <c r="D169" s="20">
        <f t="shared" ref="D169:BO169" si="31">(D25+D26+D27)+(D30*0.85)+(D31*0.95)+(D32*0.9)+(D33*0.85)</f>
        <v>2254895283.7615004</v>
      </c>
      <c r="E169" s="20">
        <f t="shared" si="31"/>
        <v>2727395283.7615004</v>
      </c>
      <c r="F169" s="20">
        <f t="shared" si="31"/>
        <v>2632395283.7615004</v>
      </c>
      <c r="G169" s="20">
        <f t="shared" si="31"/>
        <v>2679895283.7615004</v>
      </c>
      <c r="H169" s="20">
        <f t="shared" si="31"/>
        <v>2499895283.7615004</v>
      </c>
      <c r="I169" s="20">
        <f t="shared" si="31"/>
        <v>2859895283.7615004</v>
      </c>
      <c r="J169" s="20">
        <f t="shared" si="31"/>
        <v>2722395283.7615004</v>
      </c>
      <c r="K169" s="26">
        <f t="shared" si="31"/>
        <v>2739395283.7615004</v>
      </c>
      <c r="L169" s="24">
        <f t="shared" si="31"/>
        <v>2705395283.7615004</v>
      </c>
      <c r="M169" s="20">
        <f t="shared" si="31"/>
        <v>2552395283.7615004</v>
      </c>
      <c r="N169" s="20">
        <f t="shared" si="31"/>
        <v>2807395283.7615004</v>
      </c>
      <c r="O169" s="24">
        <f t="shared" si="31"/>
        <v>2774895283.7615004</v>
      </c>
      <c r="P169" s="20">
        <f t="shared" si="31"/>
        <v>2584895283.7615004</v>
      </c>
      <c r="Q169" s="20">
        <f t="shared" si="31"/>
        <v>2931474478.1875</v>
      </c>
      <c r="R169" s="26">
        <f t="shared" si="31"/>
        <v>2841474478.1875</v>
      </c>
      <c r="S169" s="26">
        <f t="shared" si="31"/>
        <v>2894974478.1875</v>
      </c>
      <c r="T169" s="24">
        <f t="shared" si="31"/>
        <v>2877974478.1875</v>
      </c>
      <c r="U169" s="40">
        <f t="shared" si="31"/>
        <v>2886474478.1875</v>
      </c>
      <c r="V169" s="40">
        <f t="shared" si="31"/>
        <v>2886474478.1875</v>
      </c>
      <c r="W169" s="40">
        <f t="shared" si="31"/>
        <v>2886474478.1875</v>
      </c>
      <c r="X169" s="40">
        <f t="shared" si="31"/>
        <v>2886474478.1875</v>
      </c>
      <c r="Y169" s="24">
        <f t="shared" si="31"/>
        <v>2886474478.1875</v>
      </c>
      <c r="Z169" s="40">
        <f t="shared" si="31"/>
        <v>2886474478.1875</v>
      </c>
      <c r="AA169" s="40">
        <f t="shared" si="31"/>
        <v>2886474478.1875</v>
      </c>
      <c r="AB169" s="40">
        <f t="shared" si="31"/>
        <v>2886474478.1875</v>
      </c>
      <c r="AC169" s="40">
        <f t="shared" si="31"/>
        <v>2886474478.1875</v>
      </c>
      <c r="AD169" s="44">
        <f>(AD25+AD26+AD27)+(AD30*0.85)+(AD31*0.95)+(AD32*0.9)+(AD33*0.85)</f>
        <v>2886474478.1875</v>
      </c>
      <c r="AE169" s="20">
        <f t="shared" si="31"/>
        <v>2886474478.1875</v>
      </c>
      <c r="AF169" s="20">
        <f t="shared" si="31"/>
        <v>3549980275.8625002</v>
      </c>
      <c r="AG169" s="20">
        <f t="shared" si="31"/>
        <v>3549980275.8625002</v>
      </c>
      <c r="AH169" s="20">
        <f t="shared" si="31"/>
        <v>3549980275.8625002</v>
      </c>
      <c r="AI169" s="20">
        <f t="shared" si="31"/>
        <v>3549980275.8625002</v>
      </c>
      <c r="AJ169" s="24">
        <f t="shared" si="31"/>
        <v>3549980275.8625002</v>
      </c>
      <c r="AK169" s="40">
        <f t="shared" si="31"/>
        <v>3549980275.8625002</v>
      </c>
      <c r="AL169" s="40">
        <f t="shared" si="31"/>
        <v>3549980275.8625002</v>
      </c>
      <c r="AM169" s="40">
        <f t="shared" si="31"/>
        <v>3549980275.8625002</v>
      </c>
      <c r="AN169" s="40">
        <f t="shared" si="31"/>
        <v>3549980275.8625002</v>
      </c>
      <c r="AO169" s="20">
        <f t="shared" si="31"/>
        <v>3549980275.8625002</v>
      </c>
      <c r="AP169" s="24">
        <f t="shared" si="31"/>
        <v>3549980275.8625002</v>
      </c>
      <c r="AQ169" s="20">
        <f t="shared" si="31"/>
        <v>3549980275.8625002</v>
      </c>
      <c r="AR169" s="20">
        <f t="shared" si="31"/>
        <v>3549980275.8625002</v>
      </c>
      <c r="AS169" s="20">
        <f t="shared" si="31"/>
        <v>3549980275.8625002</v>
      </c>
      <c r="AT169" s="20">
        <f t="shared" si="31"/>
        <v>3549980275.8625002</v>
      </c>
      <c r="AU169" s="20">
        <f t="shared" si="31"/>
        <v>3529980275.8625002</v>
      </c>
      <c r="AV169" s="24">
        <f t="shared" si="31"/>
        <v>3569980275.8625002</v>
      </c>
      <c r="AW169" s="20">
        <f t="shared" si="31"/>
        <v>3549980275.8625002</v>
      </c>
      <c r="AX169" s="20">
        <f t="shared" si="31"/>
        <v>3549980275.8625002</v>
      </c>
      <c r="AY169" s="20">
        <f t="shared" si="31"/>
        <v>3549980275.8625002</v>
      </c>
      <c r="AZ169" s="20">
        <f t="shared" si="31"/>
        <v>3549980275.8625002</v>
      </c>
      <c r="BA169" s="20">
        <f t="shared" si="31"/>
        <v>3549980275.8625002</v>
      </c>
      <c r="BB169" s="24">
        <f t="shared" si="31"/>
        <v>3549980275.8625002</v>
      </c>
      <c r="BC169" s="20">
        <f t="shared" si="31"/>
        <v>3549980275.8625002</v>
      </c>
      <c r="BD169" s="20">
        <f t="shared" si="31"/>
        <v>3549980275.8625002</v>
      </c>
      <c r="BE169" s="20">
        <f t="shared" si="31"/>
        <v>3549980275.8625002</v>
      </c>
      <c r="BF169" s="44">
        <f t="shared" si="31"/>
        <v>3549980275.8625002</v>
      </c>
      <c r="BG169" s="20">
        <f t="shared" si="31"/>
        <v>3644127997.5714998</v>
      </c>
      <c r="BH169" s="26">
        <f t="shared" si="31"/>
        <v>3644127997.5714998</v>
      </c>
      <c r="BI169" s="24">
        <f t="shared" si="31"/>
        <v>3644127997.5714998</v>
      </c>
      <c r="BJ169" s="36">
        <f t="shared" si="31"/>
        <v>3644127997.5714998</v>
      </c>
      <c r="BK169" s="20">
        <f t="shared" si="31"/>
        <v>3644127997.5714998</v>
      </c>
      <c r="BL169" s="36">
        <f t="shared" si="31"/>
        <v>3644127997.5714998</v>
      </c>
      <c r="BM169" s="20">
        <f t="shared" si="31"/>
        <v>3644127997.5714998</v>
      </c>
      <c r="BN169" s="20">
        <f t="shared" si="31"/>
        <v>3644127997.5714998</v>
      </c>
      <c r="BO169" s="20">
        <f t="shared" si="31"/>
        <v>3644127997.5714998</v>
      </c>
      <c r="BP169" s="20">
        <f t="shared" ref="BP169:CS169" si="32">(BP25+BP26+BP27)+(BP30*0.85)+(BP31*0.95)+(BP32*0.9)+(BP33*0.85)</f>
        <v>3644127997.5714998</v>
      </c>
      <c r="BQ169" s="36">
        <f t="shared" si="32"/>
        <v>3644127997.5714998</v>
      </c>
      <c r="BR169" s="20">
        <f t="shared" si="32"/>
        <v>3644127997.5714998</v>
      </c>
      <c r="BS169" s="36">
        <f t="shared" si="32"/>
        <v>3644127997.5714998</v>
      </c>
      <c r="BT169" s="20">
        <f t="shared" si="32"/>
        <v>3644127997.5714998</v>
      </c>
      <c r="BU169" s="20">
        <f t="shared" si="32"/>
        <v>3644127997.5714998</v>
      </c>
      <c r="BV169" s="20">
        <f t="shared" si="32"/>
        <v>3644127997.5714998</v>
      </c>
      <c r="BW169" s="20">
        <f t="shared" si="32"/>
        <v>3644127997.5714998</v>
      </c>
      <c r="BX169" s="20">
        <f t="shared" si="32"/>
        <v>3644127997.5714998</v>
      </c>
      <c r="BY169" s="20">
        <f t="shared" si="32"/>
        <v>3644127997.5714998</v>
      </c>
      <c r="BZ169" s="20">
        <f t="shared" si="32"/>
        <v>3644127997.5714998</v>
      </c>
      <c r="CA169" s="20">
        <f t="shared" si="32"/>
        <v>3644127997.5714998</v>
      </c>
      <c r="CB169" s="20">
        <f t="shared" si="32"/>
        <v>3644127997.5714998</v>
      </c>
      <c r="CC169" s="20">
        <f t="shared" si="32"/>
        <v>3644127997.5714998</v>
      </c>
      <c r="CD169" s="20">
        <f t="shared" si="32"/>
        <v>3644127997.5714998</v>
      </c>
      <c r="CE169" s="20">
        <f t="shared" si="32"/>
        <v>3644127997.5714998</v>
      </c>
      <c r="CF169" s="20">
        <f t="shared" si="32"/>
        <v>3644127997.5714998</v>
      </c>
      <c r="CG169" s="20">
        <f t="shared" si="32"/>
        <v>3644127997.5714998</v>
      </c>
      <c r="CH169" s="20">
        <f t="shared" si="32"/>
        <v>3644127997.5714998</v>
      </c>
      <c r="CI169" s="20">
        <f t="shared" si="32"/>
        <v>3644127997.5714998</v>
      </c>
      <c r="CJ169" s="36">
        <f t="shared" si="32"/>
        <v>3644127997.5714998</v>
      </c>
      <c r="CK169" s="20">
        <f t="shared" si="32"/>
        <v>3644127997.5714998</v>
      </c>
      <c r="CL169" s="36">
        <f t="shared" si="32"/>
        <v>3644127997.5714998</v>
      </c>
      <c r="CM169" s="20">
        <f t="shared" si="32"/>
        <v>3644127997.5714998</v>
      </c>
      <c r="CN169" s="20">
        <f t="shared" si="32"/>
        <v>3644127997.5714998</v>
      </c>
      <c r="CO169" s="20">
        <f t="shared" si="32"/>
        <v>3644127997.5714998</v>
      </c>
      <c r="CP169" s="20">
        <f t="shared" si="32"/>
        <v>3644127997.5714998</v>
      </c>
      <c r="CQ169" s="20">
        <f t="shared" si="32"/>
        <v>3644127997.5714998</v>
      </c>
      <c r="CR169" s="20">
        <f t="shared" si="32"/>
        <v>3644127997.5714998</v>
      </c>
      <c r="CS169" s="20">
        <f t="shared" si="32"/>
        <v>3644127997.5714998</v>
      </c>
    </row>
    <row r="170" spans="1:97" s="20" customFormat="1" x14ac:dyDescent="0.25">
      <c r="A170" s="21" t="s">
        <v>169</v>
      </c>
      <c r="C170" s="24">
        <f>SUM(C25:C29)+(C30*0.75)+(C31*0.95)+(C32*0.85)+(C33*0.75)</f>
        <v>3190315199.7455001</v>
      </c>
      <c r="D170" s="20">
        <f t="shared" ref="D170:BO170" si="33">SUM(D25:D29)+(D30*0.75)+(D31*0.95)+(D32*0.85)+(D33*0.75)</f>
        <v>2440315199.7454996</v>
      </c>
      <c r="E170" s="20">
        <f t="shared" si="33"/>
        <v>2862815199.7454996</v>
      </c>
      <c r="F170" s="20">
        <f t="shared" si="33"/>
        <v>2767815199.7454996</v>
      </c>
      <c r="G170" s="20">
        <f t="shared" si="33"/>
        <v>2815315199.7454996</v>
      </c>
      <c r="H170" s="20">
        <f t="shared" si="33"/>
        <v>2645315199.7454996</v>
      </c>
      <c r="I170" s="20">
        <f t="shared" si="33"/>
        <v>2985315199.7454996</v>
      </c>
      <c r="J170" s="20">
        <f t="shared" si="33"/>
        <v>2852815199.7454996</v>
      </c>
      <c r="K170" s="26">
        <f t="shared" si="33"/>
        <v>2867815199.7454996</v>
      </c>
      <c r="L170" s="24">
        <f t="shared" si="33"/>
        <v>2837815199.7454996</v>
      </c>
      <c r="M170" s="20">
        <f t="shared" si="33"/>
        <v>2702815199.7454996</v>
      </c>
      <c r="N170" s="20">
        <f t="shared" si="33"/>
        <v>2927815199.7454996</v>
      </c>
      <c r="O170" s="24">
        <f t="shared" si="33"/>
        <v>2910315199.7454996</v>
      </c>
      <c r="P170" s="20">
        <f t="shared" si="33"/>
        <v>2720315199.7454996</v>
      </c>
      <c r="Q170" s="20">
        <f t="shared" si="33"/>
        <v>3059542205.3474998</v>
      </c>
      <c r="R170" s="26">
        <f t="shared" si="33"/>
        <v>2974542205.3474998</v>
      </c>
      <c r="S170" s="26">
        <f t="shared" si="33"/>
        <v>3024542205.3474998</v>
      </c>
      <c r="T170" s="24">
        <f t="shared" si="33"/>
        <v>3009542205.3474998</v>
      </c>
      <c r="U170" s="40">
        <f t="shared" si="33"/>
        <v>3017042205.3474998</v>
      </c>
      <c r="V170" s="40">
        <f t="shared" si="33"/>
        <v>3017042205.3474998</v>
      </c>
      <c r="W170" s="40">
        <f t="shared" si="33"/>
        <v>3017042205.3474998</v>
      </c>
      <c r="X170" s="40">
        <f t="shared" si="33"/>
        <v>3017042205.3474998</v>
      </c>
      <c r="Y170" s="24">
        <f t="shared" si="33"/>
        <v>3017042205.3474998</v>
      </c>
      <c r="Z170" s="40">
        <f t="shared" si="33"/>
        <v>3017042205.3474998</v>
      </c>
      <c r="AA170" s="40">
        <f t="shared" si="33"/>
        <v>3017042205.3474998</v>
      </c>
      <c r="AB170" s="40">
        <f t="shared" si="33"/>
        <v>3017042205.3474998</v>
      </c>
      <c r="AC170" s="40">
        <f t="shared" si="33"/>
        <v>3017042205.3474998</v>
      </c>
      <c r="AD170" s="44">
        <f>SUM(AD25:AD29)+(AD30*0.75)+(AD31*0.95)+(AD32*0.85)+(AD33*0.75)</f>
        <v>3017042205.3474998</v>
      </c>
      <c r="AE170" s="20">
        <f t="shared" si="33"/>
        <v>3017042205.3474998</v>
      </c>
      <c r="AF170" s="20">
        <f t="shared" si="33"/>
        <v>3630909841.2785001</v>
      </c>
      <c r="AG170" s="20">
        <f t="shared" si="33"/>
        <v>3630909841.2785001</v>
      </c>
      <c r="AH170" s="20">
        <f t="shared" si="33"/>
        <v>3630909841.2785001</v>
      </c>
      <c r="AI170" s="20">
        <f t="shared" si="33"/>
        <v>3630909841.2785001</v>
      </c>
      <c r="AJ170" s="24">
        <f t="shared" si="33"/>
        <v>3630909841.2785001</v>
      </c>
      <c r="AK170" s="40">
        <f t="shared" si="33"/>
        <v>3630909841.2785001</v>
      </c>
      <c r="AL170" s="40">
        <f t="shared" si="33"/>
        <v>3630909841.2785001</v>
      </c>
      <c r="AM170" s="40">
        <f t="shared" si="33"/>
        <v>3630909841.2785001</v>
      </c>
      <c r="AN170" s="40">
        <f t="shared" si="33"/>
        <v>3630909841.2785001</v>
      </c>
      <c r="AO170" s="20">
        <f t="shared" si="33"/>
        <v>3630909841.2785001</v>
      </c>
      <c r="AP170" s="24">
        <f t="shared" si="33"/>
        <v>3630909841.2785001</v>
      </c>
      <c r="AQ170" s="20">
        <f t="shared" si="33"/>
        <v>3630909841.2785001</v>
      </c>
      <c r="AR170" s="20">
        <f t="shared" si="33"/>
        <v>3630909841.2785001</v>
      </c>
      <c r="AS170" s="20">
        <f t="shared" si="33"/>
        <v>3630909841.2785001</v>
      </c>
      <c r="AT170" s="20">
        <f t="shared" si="33"/>
        <v>3630909841.2785001</v>
      </c>
      <c r="AU170" s="20">
        <f t="shared" si="33"/>
        <v>3610909841.2785001</v>
      </c>
      <c r="AV170" s="24">
        <f t="shared" si="33"/>
        <v>3650909841.2785001</v>
      </c>
      <c r="AW170" s="20">
        <f t="shared" si="33"/>
        <v>3615909841.2785001</v>
      </c>
      <c r="AX170" s="20">
        <f t="shared" si="33"/>
        <v>3645909841.2785001</v>
      </c>
      <c r="AY170" s="20">
        <f t="shared" si="33"/>
        <v>3630909841.2785001</v>
      </c>
      <c r="AZ170" s="20">
        <f t="shared" si="33"/>
        <v>3630909841.2785001</v>
      </c>
      <c r="BA170" s="20">
        <f t="shared" si="33"/>
        <v>3630909841.2785001</v>
      </c>
      <c r="BB170" s="24">
        <f t="shared" si="33"/>
        <v>3630909841.2785001</v>
      </c>
      <c r="BC170" s="20">
        <f t="shared" si="33"/>
        <v>3630909841.2785001</v>
      </c>
      <c r="BD170" s="20">
        <f t="shared" si="33"/>
        <v>3630909841.2785001</v>
      </c>
      <c r="BE170" s="20">
        <f t="shared" si="33"/>
        <v>3630909841.2785001</v>
      </c>
      <c r="BF170" s="44">
        <f t="shared" si="33"/>
        <v>3630909841.2785001</v>
      </c>
      <c r="BG170" s="20">
        <f t="shared" si="33"/>
        <v>3720252319.2910004</v>
      </c>
      <c r="BH170" s="26">
        <f t="shared" si="33"/>
        <v>3720252319.2910004</v>
      </c>
      <c r="BI170" s="24">
        <f t="shared" si="33"/>
        <v>3720252319.2910004</v>
      </c>
      <c r="BJ170" s="36">
        <f t="shared" si="33"/>
        <v>3720252319.2910004</v>
      </c>
      <c r="BK170" s="20">
        <f t="shared" si="33"/>
        <v>3720252319.2910004</v>
      </c>
      <c r="BL170" s="36">
        <f t="shared" si="33"/>
        <v>3720252319.2910004</v>
      </c>
      <c r="BM170" s="20">
        <f t="shared" si="33"/>
        <v>3720252319.2910004</v>
      </c>
      <c r="BN170" s="20">
        <f t="shared" si="33"/>
        <v>3720252319.2910004</v>
      </c>
      <c r="BO170" s="20">
        <f t="shared" si="33"/>
        <v>3720252319.2910004</v>
      </c>
      <c r="BP170" s="20">
        <f t="shared" ref="BP170:CS170" si="34">SUM(BP25:BP29)+(BP30*0.75)+(BP31*0.95)+(BP32*0.85)+(BP33*0.75)</f>
        <v>3720252319.2910004</v>
      </c>
      <c r="BQ170" s="36">
        <f t="shared" si="34"/>
        <v>3720252319.2910004</v>
      </c>
      <c r="BR170" s="20">
        <f t="shared" si="34"/>
        <v>3720252319.2910004</v>
      </c>
      <c r="BS170" s="36">
        <f t="shared" si="34"/>
        <v>3720252319.2910004</v>
      </c>
      <c r="BT170" s="20">
        <f t="shared" si="34"/>
        <v>3720252319.2910004</v>
      </c>
      <c r="BU170" s="20">
        <f t="shared" si="34"/>
        <v>3720252319.2910004</v>
      </c>
      <c r="BV170" s="20">
        <f t="shared" si="34"/>
        <v>3720252319.2910004</v>
      </c>
      <c r="BW170" s="20">
        <f t="shared" si="34"/>
        <v>3720252319.2910004</v>
      </c>
      <c r="BX170" s="20">
        <f t="shared" si="34"/>
        <v>3720252319.2910004</v>
      </c>
      <c r="BY170" s="20">
        <f t="shared" si="34"/>
        <v>3720252319.2910004</v>
      </c>
      <c r="BZ170" s="20">
        <f t="shared" si="34"/>
        <v>3720252319.2910004</v>
      </c>
      <c r="CA170" s="20">
        <f t="shared" si="34"/>
        <v>3720252319.2910004</v>
      </c>
      <c r="CB170" s="20">
        <f t="shared" si="34"/>
        <v>3720252319.2910004</v>
      </c>
      <c r="CC170" s="20">
        <f t="shared" si="34"/>
        <v>3720252319.2910004</v>
      </c>
      <c r="CD170" s="20">
        <f t="shared" si="34"/>
        <v>3720252319.2910004</v>
      </c>
      <c r="CE170" s="20">
        <f t="shared" si="34"/>
        <v>3720252319.2910004</v>
      </c>
      <c r="CF170" s="20">
        <f t="shared" si="34"/>
        <v>3720252319.2910004</v>
      </c>
      <c r="CG170" s="20">
        <f t="shared" si="34"/>
        <v>3720252319.2910004</v>
      </c>
      <c r="CH170" s="20">
        <f t="shared" si="34"/>
        <v>3720252319.2910004</v>
      </c>
      <c r="CI170" s="20">
        <f t="shared" si="34"/>
        <v>3720252319.2910004</v>
      </c>
      <c r="CJ170" s="36">
        <f t="shared" si="34"/>
        <v>3720252319.2910004</v>
      </c>
      <c r="CK170" s="20">
        <f t="shared" si="34"/>
        <v>3720252319.2910004</v>
      </c>
      <c r="CL170" s="36">
        <f t="shared" si="34"/>
        <v>3720252319.2910004</v>
      </c>
      <c r="CM170" s="20">
        <f t="shared" si="34"/>
        <v>3720252319.2910004</v>
      </c>
      <c r="CN170" s="20">
        <f t="shared" si="34"/>
        <v>3720252319.2910004</v>
      </c>
      <c r="CO170" s="20">
        <f t="shared" si="34"/>
        <v>3720252319.2910004</v>
      </c>
      <c r="CP170" s="20">
        <f t="shared" si="34"/>
        <v>3720252319.2910004</v>
      </c>
      <c r="CQ170" s="20">
        <f t="shared" si="34"/>
        <v>3720252319.2910004</v>
      </c>
      <c r="CR170" s="20">
        <f t="shared" si="34"/>
        <v>3720252319.2910004</v>
      </c>
      <c r="CS170" s="20">
        <f t="shared" si="34"/>
        <v>3720252319.2910004</v>
      </c>
    </row>
    <row r="171" spans="1:97" s="20" customFormat="1" x14ac:dyDescent="0.25">
      <c r="A171" s="21" t="s">
        <v>170</v>
      </c>
      <c r="C171" s="24">
        <f>SUM(C25:C29)+(C30*0.6)+(C31*0.9)+(C32*0.75)+(C33*0.6)</f>
        <v>2804103668.6269999</v>
      </c>
      <c r="D171" s="20">
        <f t="shared" ref="D171:BO171" si="35">SUM(D25:D29)+(D30*0.6)+(D31*0.9)+(D32*0.75)+(D33*0.6)</f>
        <v>2204103668.6269999</v>
      </c>
      <c r="E171" s="20">
        <f t="shared" si="35"/>
        <v>2549103668.6269999</v>
      </c>
      <c r="F171" s="20">
        <f t="shared" si="35"/>
        <v>2459103668.6269999</v>
      </c>
      <c r="G171" s="20">
        <f t="shared" si="35"/>
        <v>2504103668.6269999</v>
      </c>
      <c r="H171" s="20">
        <f t="shared" si="35"/>
        <v>2354103668.6269999</v>
      </c>
      <c r="I171" s="20">
        <f t="shared" si="35"/>
        <v>2654103668.6269999</v>
      </c>
      <c r="J171" s="20">
        <f t="shared" si="35"/>
        <v>2534103668.6269999</v>
      </c>
      <c r="K171" s="26">
        <f t="shared" si="35"/>
        <v>2546103668.6269999</v>
      </c>
      <c r="L171" s="24">
        <f t="shared" si="35"/>
        <v>2522103668.6269999</v>
      </c>
      <c r="M171" s="20">
        <f t="shared" si="35"/>
        <v>2414103668.6269999</v>
      </c>
      <c r="N171" s="20">
        <f t="shared" si="35"/>
        <v>2594103668.6269999</v>
      </c>
      <c r="O171" s="24">
        <f t="shared" si="35"/>
        <v>2594103668.6269999</v>
      </c>
      <c r="P171" s="20">
        <f t="shared" si="35"/>
        <v>2414103668.6269999</v>
      </c>
      <c r="Q171" s="20">
        <f t="shared" si="35"/>
        <v>2726305568.6850004</v>
      </c>
      <c r="R171" s="26">
        <f t="shared" si="35"/>
        <v>2651305568.6850004</v>
      </c>
      <c r="S171" s="26">
        <f t="shared" si="35"/>
        <v>2694805568.6850004</v>
      </c>
      <c r="T171" s="24">
        <f t="shared" si="35"/>
        <v>2682805568.6850004</v>
      </c>
      <c r="U171" s="40">
        <f t="shared" si="35"/>
        <v>2688805568.6850004</v>
      </c>
      <c r="V171" s="40">
        <f t="shared" si="35"/>
        <v>2688805568.6850004</v>
      </c>
      <c r="W171" s="40">
        <f t="shared" si="35"/>
        <v>2688805568.6850004</v>
      </c>
      <c r="X171" s="40">
        <f t="shared" si="35"/>
        <v>2688805568.6850004</v>
      </c>
      <c r="Y171" s="24">
        <f t="shared" si="35"/>
        <v>2688805568.6850004</v>
      </c>
      <c r="Z171" s="40">
        <f t="shared" si="35"/>
        <v>2688805568.6850004</v>
      </c>
      <c r="AA171" s="40">
        <f t="shared" si="35"/>
        <v>2688805568.6850004</v>
      </c>
      <c r="AB171" s="40">
        <f t="shared" si="35"/>
        <v>2688805568.6850004</v>
      </c>
      <c r="AC171" s="40">
        <f t="shared" si="35"/>
        <v>2688805568.6850004</v>
      </c>
      <c r="AD171" s="44">
        <f>SUM(AD25:AD29)+(AD30*0.6)+(AD31*0.9)+(AD32*0.75)+(AD33*0.6)</f>
        <v>2688805568.6850004</v>
      </c>
      <c r="AE171" s="20">
        <f t="shared" si="35"/>
        <v>2688805568.6850004</v>
      </c>
      <c r="AF171" s="20">
        <f t="shared" si="35"/>
        <v>3213772345.5110002</v>
      </c>
      <c r="AG171" s="20">
        <f t="shared" si="35"/>
        <v>3213772345.5110002</v>
      </c>
      <c r="AH171" s="20">
        <f t="shared" si="35"/>
        <v>3213772345.5110002</v>
      </c>
      <c r="AI171" s="20">
        <f t="shared" si="35"/>
        <v>3213772345.5110002</v>
      </c>
      <c r="AJ171" s="24">
        <f t="shared" si="35"/>
        <v>3213772345.5110002</v>
      </c>
      <c r="AK171" s="40">
        <f t="shared" si="35"/>
        <v>3213772345.5110002</v>
      </c>
      <c r="AL171" s="40">
        <f t="shared" si="35"/>
        <v>3213772345.5110002</v>
      </c>
      <c r="AM171" s="40">
        <f t="shared" si="35"/>
        <v>3213772345.5110002</v>
      </c>
      <c r="AN171" s="40">
        <f t="shared" si="35"/>
        <v>3213772345.5110002</v>
      </c>
      <c r="AO171" s="20">
        <f t="shared" si="35"/>
        <v>3213772345.5110002</v>
      </c>
      <c r="AP171" s="24">
        <f t="shared" si="35"/>
        <v>3213772345.5110002</v>
      </c>
      <c r="AQ171" s="20">
        <f t="shared" si="35"/>
        <v>3213772345.5110002</v>
      </c>
      <c r="AR171" s="20">
        <f t="shared" si="35"/>
        <v>3213772345.5110002</v>
      </c>
      <c r="AS171" s="20">
        <f t="shared" si="35"/>
        <v>3213772345.5110002</v>
      </c>
      <c r="AT171" s="20">
        <f t="shared" si="35"/>
        <v>3213772345.5110002</v>
      </c>
      <c r="AU171" s="20">
        <f t="shared" si="35"/>
        <v>3193772345.5110002</v>
      </c>
      <c r="AV171" s="24">
        <f t="shared" si="35"/>
        <v>3233772345.5110002</v>
      </c>
      <c r="AW171" s="20">
        <f t="shared" si="35"/>
        <v>3198772345.5110002</v>
      </c>
      <c r="AX171" s="20">
        <f t="shared" si="35"/>
        <v>3228772345.5110002</v>
      </c>
      <c r="AY171" s="20">
        <f t="shared" si="35"/>
        <v>3213772345.5110002</v>
      </c>
      <c r="AZ171" s="20">
        <f t="shared" si="35"/>
        <v>3213772345.5110002</v>
      </c>
      <c r="BA171" s="20">
        <f t="shared" si="35"/>
        <v>3213772345.5110002</v>
      </c>
      <c r="BB171" s="24">
        <f t="shared" si="35"/>
        <v>3213772345.5110002</v>
      </c>
      <c r="BC171" s="20">
        <f t="shared" si="35"/>
        <v>3213772345.5110002</v>
      </c>
      <c r="BD171" s="20">
        <f t="shared" si="35"/>
        <v>3213772345.5110002</v>
      </c>
      <c r="BE171" s="20">
        <f t="shared" si="35"/>
        <v>3213772345.5110002</v>
      </c>
      <c r="BF171" s="44">
        <f t="shared" si="35"/>
        <v>3213772345.5110002</v>
      </c>
      <c r="BG171" s="20">
        <f t="shared" si="35"/>
        <v>3292127239.1824999</v>
      </c>
      <c r="BH171" s="26">
        <f t="shared" si="35"/>
        <v>3292127239.1824999</v>
      </c>
      <c r="BI171" s="24">
        <f t="shared" si="35"/>
        <v>3292127239.1824999</v>
      </c>
      <c r="BJ171" s="36">
        <f t="shared" si="35"/>
        <v>3292127239.1824999</v>
      </c>
      <c r="BK171" s="20">
        <f t="shared" si="35"/>
        <v>3292127239.1824999</v>
      </c>
      <c r="BL171" s="36">
        <f t="shared" si="35"/>
        <v>3292127239.1824999</v>
      </c>
      <c r="BM171" s="20">
        <f t="shared" si="35"/>
        <v>3292127239.1824999</v>
      </c>
      <c r="BN171" s="20">
        <f t="shared" si="35"/>
        <v>3292127239.1824999</v>
      </c>
      <c r="BO171" s="20">
        <f t="shared" si="35"/>
        <v>3292127239.1824999</v>
      </c>
      <c r="BP171" s="20">
        <f t="shared" ref="BP171:CS171" si="36">SUM(BP25:BP29)+(BP30*0.6)+(BP31*0.9)+(BP32*0.75)+(BP33*0.6)</f>
        <v>3292127239.1824999</v>
      </c>
      <c r="BQ171" s="36">
        <f t="shared" si="36"/>
        <v>3292127239.1824999</v>
      </c>
      <c r="BR171" s="20">
        <f t="shared" si="36"/>
        <v>3292127239.1824999</v>
      </c>
      <c r="BS171" s="36">
        <f t="shared" si="36"/>
        <v>3292127239.1824999</v>
      </c>
      <c r="BT171" s="20">
        <f t="shared" si="36"/>
        <v>3292127239.1824999</v>
      </c>
      <c r="BU171" s="20">
        <f t="shared" si="36"/>
        <v>3292127239.1824999</v>
      </c>
      <c r="BV171" s="20">
        <f t="shared" si="36"/>
        <v>3292127239.1824999</v>
      </c>
      <c r="BW171" s="20">
        <f t="shared" si="36"/>
        <v>3292127239.1824999</v>
      </c>
      <c r="BX171" s="20">
        <f t="shared" si="36"/>
        <v>3292127239.1824999</v>
      </c>
      <c r="BY171" s="20">
        <f t="shared" si="36"/>
        <v>3292127239.1824999</v>
      </c>
      <c r="BZ171" s="20">
        <f t="shared" si="36"/>
        <v>3292127239.1824999</v>
      </c>
      <c r="CA171" s="20">
        <f t="shared" si="36"/>
        <v>3292127239.1824999</v>
      </c>
      <c r="CB171" s="20">
        <f t="shared" si="36"/>
        <v>3292127239.1824999</v>
      </c>
      <c r="CC171" s="20">
        <f t="shared" si="36"/>
        <v>3292127239.1824999</v>
      </c>
      <c r="CD171" s="20">
        <f t="shared" si="36"/>
        <v>3292127239.1824999</v>
      </c>
      <c r="CE171" s="20">
        <f t="shared" si="36"/>
        <v>3292127239.1824999</v>
      </c>
      <c r="CF171" s="20">
        <f t="shared" si="36"/>
        <v>3292127239.1824999</v>
      </c>
      <c r="CG171" s="20">
        <f t="shared" si="36"/>
        <v>3292127239.1824999</v>
      </c>
      <c r="CH171" s="20">
        <f t="shared" si="36"/>
        <v>3292127239.1824999</v>
      </c>
      <c r="CI171" s="20">
        <f t="shared" si="36"/>
        <v>3292127239.1824999</v>
      </c>
      <c r="CJ171" s="36">
        <f t="shared" si="36"/>
        <v>3292127239.1824999</v>
      </c>
      <c r="CK171" s="20">
        <f t="shared" si="36"/>
        <v>3292127239.1824999</v>
      </c>
      <c r="CL171" s="36">
        <f t="shared" si="36"/>
        <v>3292127239.1824999</v>
      </c>
      <c r="CM171" s="20">
        <f t="shared" si="36"/>
        <v>3292127239.1824999</v>
      </c>
      <c r="CN171" s="20">
        <f t="shared" si="36"/>
        <v>3292127239.1824999</v>
      </c>
      <c r="CO171" s="20">
        <f t="shared" si="36"/>
        <v>3292127239.1824999</v>
      </c>
      <c r="CP171" s="20">
        <f t="shared" si="36"/>
        <v>3292127239.1824999</v>
      </c>
      <c r="CQ171" s="20">
        <f t="shared" si="36"/>
        <v>3292127239.1824999</v>
      </c>
      <c r="CR171" s="20">
        <f t="shared" si="36"/>
        <v>3292127239.1824999</v>
      </c>
      <c r="CS171" s="20">
        <f t="shared" si="36"/>
        <v>3292127239.1824999</v>
      </c>
    </row>
    <row r="172" spans="1:97" s="20" customFormat="1" x14ac:dyDescent="0.25">
      <c r="A172" s="21" t="s">
        <v>171</v>
      </c>
      <c r="C172" s="24">
        <f>(C36*0.6*0.96)+(C37*0.6*0.96)+(C38*0.9*0.97)+(C39*0.75*0.97)+(C40*0.6*0.96)</f>
        <v>1887265375.57476</v>
      </c>
      <c r="D172" s="20">
        <f t="shared" ref="D172:BO172" si="37">(D36*0.6*0.96)+(D37*0.6*0.96)+(D38*0.9*0.97)+(D39*0.75*0.97)+(D40*0.6*0.96)</f>
        <v>2463265375.57476</v>
      </c>
      <c r="E172" s="20">
        <f t="shared" si="37"/>
        <v>2131615375.57476</v>
      </c>
      <c r="F172" s="20">
        <f t="shared" si="37"/>
        <v>2218915375.57476</v>
      </c>
      <c r="G172" s="20">
        <f t="shared" si="37"/>
        <v>2393515375.57476</v>
      </c>
      <c r="H172" s="20">
        <f t="shared" si="37"/>
        <v>2539015375.57476</v>
      </c>
      <c r="I172" s="20">
        <f t="shared" si="37"/>
        <v>2248015375.57476</v>
      </c>
      <c r="J172" s="20">
        <f t="shared" si="37"/>
        <v>2422315375.57476</v>
      </c>
      <c r="K172" s="26">
        <f t="shared" si="37"/>
        <v>2410795375.57476</v>
      </c>
      <c r="L172" s="24">
        <f t="shared" si="37"/>
        <v>2433835375.57476</v>
      </c>
      <c r="M172" s="20">
        <f t="shared" si="37"/>
        <v>2175265375.57476</v>
      </c>
      <c r="N172" s="20">
        <f t="shared" si="37"/>
        <v>2175265375.57476</v>
      </c>
      <c r="O172" s="24">
        <f t="shared" si="37"/>
        <v>2175265375.57476</v>
      </c>
      <c r="P172" s="20">
        <f t="shared" si="37"/>
        <v>2175265375.57476</v>
      </c>
      <c r="Q172" s="20">
        <f t="shared" si="37"/>
        <v>2092238265.74562</v>
      </c>
      <c r="R172" s="26">
        <f t="shared" si="37"/>
        <v>2092238265.74562</v>
      </c>
      <c r="S172" s="26">
        <f t="shared" si="37"/>
        <v>2092238265.74562</v>
      </c>
      <c r="T172" s="24">
        <f t="shared" si="37"/>
        <v>2092238265.74562</v>
      </c>
      <c r="U172" s="40">
        <f t="shared" si="37"/>
        <v>2092238265.7456198</v>
      </c>
      <c r="V172" s="40">
        <f t="shared" si="37"/>
        <v>2092238265.7456198</v>
      </c>
      <c r="W172" s="40">
        <f t="shared" si="37"/>
        <v>2103758265.7456198</v>
      </c>
      <c r="X172" s="40">
        <f t="shared" si="37"/>
        <v>2103758265.7456198</v>
      </c>
      <c r="Y172" s="24">
        <f t="shared" si="37"/>
        <v>2103758265.7456198</v>
      </c>
      <c r="Z172" s="40">
        <f t="shared" si="37"/>
        <v>2103758265.7456198</v>
      </c>
      <c r="AA172" s="40">
        <f t="shared" si="37"/>
        <v>2109698265.7456198</v>
      </c>
      <c r="AB172" s="40">
        <f t="shared" si="37"/>
        <v>2097818265.7456198</v>
      </c>
      <c r="AC172" s="40">
        <f t="shared" si="37"/>
        <v>2128613265.7456198</v>
      </c>
      <c r="AD172" s="44">
        <f>(AD36*0.6*0.96)+(AD37*0.6*0.96)+(AD38*0.9*0.97)+(AD39*0.75*0.97)+(AD40*0.6*0.96)</f>
        <v>2124068265.7456198</v>
      </c>
      <c r="AE172" s="20">
        <f t="shared" si="37"/>
        <v>2133158265.7456198</v>
      </c>
      <c r="AF172" s="20">
        <f t="shared" si="37"/>
        <v>2022838832.0093095</v>
      </c>
      <c r="AG172" s="20">
        <f t="shared" si="37"/>
        <v>2028778832.0093095</v>
      </c>
      <c r="AH172" s="20">
        <f t="shared" si="37"/>
        <v>2016898832.0093095</v>
      </c>
      <c r="AI172" s="20">
        <f t="shared" si="37"/>
        <v>1994038832.0093095</v>
      </c>
      <c r="AJ172" s="24">
        <f t="shared" si="37"/>
        <v>2001313832.0093095</v>
      </c>
      <c r="AK172" s="40">
        <f t="shared" si="37"/>
        <v>1986763832.0093095</v>
      </c>
      <c r="AL172" s="40">
        <f t="shared" si="37"/>
        <v>2022838832.0093095</v>
      </c>
      <c r="AM172" s="40">
        <f t="shared" si="37"/>
        <v>2022838832.0093095</v>
      </c>
      <c r="AN172" s="40">
        <f t="shared" si="37"/>
        <v>2022838832.0093095</v>
      </c>
      <c r="AO172" s="20">
        <f t="shared" si="37"/>
        <v>2022838832.0093095</v>
      </c>
      <c r="AP172" s="24">
        <f t="shared" si="37"/>
        <v>2037688832.0093095</v>
      </c>
      <c r="AQ172" s="20">
        <f t="shared" si="37"/>
        <v>2007988832.0093095</v>
      </c>
      <c r="AR172" s="20">
        <f t="shared" si="37"/>
        <v>1965238832.0093095</v>
      </c>
      <c r="AS172" s="20">
        <f t="shared" si="37"/>
        <v>1960693832.0093095</v>
      </c>
      <c r="AT172" s="20">
        <f t="shared" si="37"/>
        <v>1969783832.0093095</v>
      </c>
      <c r="AU172" s="20">
        <f t="shared" si="37"/>
        <v>1928863832.0093095</v>
      </c>
      <c r="AV172" s="24">
        <f t="shared" si="37"/>
        <v>1928863832.0093095</v>
      </c>
      <c r="AW172" s="20">
        <f t="shared" si="37"/>
        <v>1928863832.0093095</v>
      </c>
      <c r="AX172" s="20">
        <f t="shared" si="37"/>
        <v>1928863832.0093095</v>
      </c>
      <c r="AY172" s="20">
        <f t="shared" si="37"/>
        <v>1957663832.0093095</v>
      </c>
      <c r="AZ172" s="20">
        <f t="shared" si="37"/>
        <v>1900063832.0093095</v>
      </c>
      <c r="BA172" s="20">
        <f t="shared" si="37"/>
        <v>1940383832.0093095</v>
      </c>
      <c r="BB172" s="24">
        <f t="shared" si="37"/>
        <v>1946143832.0093095</v>
      </c>
      <c r="BC172" s="20">
        <f t="shared" si="37"/>
        <v>1934623832.0093095</v>
      </c>
      <c r="BD172" s="20">
        <f t="shared" si="37"/>
        <v>1937135058.1289995</v>
      </c>
      <c r="BE172" s="20">
        <f t="shared" si="37"/>
        <v>2024435058.1289995</v>
      </c>
      <c r="BF172" s="44">
        <f t="shared" si="37"/>
        <v>1849835058.1289995</v>
      </c>
      <c r="BG172" s="20">
        <f t="shared" si="37"/>
        <v>1967436183.5312397</v>
      </c>
      <c r="BH172" s="26">
        <f t="shared" si="37"/>
        <v>1974711183.5312397</v>
      </c>
      <c r="BI172" s="24">
        <f t="shared" si="37"/>
        <v>1960161183.5312397</v>
      </c>
      <c r="BJ172" s="36">
        <f t="shared" si="37"/>
        <v>1954251183.5312397</v>
      </c>
      <c r="BK172" s="20">
        <f t="shared" si="37"/>
        <v>1936971183.5312397</v>
      </c>
      <c r="BL172" s="36">
        <f t="shared" si="37"/>
        <v>1954251183.5312397</v>
      </c>
      <c r="BM172" s="20">
        <f t="shared" si="37"/>
        <v>1936971183.5312397</v>
      </c>
      <c r="BN172" s="20">
        <f t="shared" si="37"/>
        <v>1968651183.5312397</v>
      </c>
      <c r="BO172" s="20">
        <f t="shared" si="37"/>
        <v>1922571183.5312397</v>
      </c>
      <c r="BP172" s="20">
        <f t="shared" ref="BP172:CS172" si="38">(BP36*0.6*0.96)+(BP37*0.6*0.96)+(BP38*0.9*0.97)+(BP39*0.75*0.97)+(BP40*0.6*0.96)</f>
        <v>1958706183.5312397</v>
      </c>
      <c r="BQ172" s="36">
        <f t="shared" si="38"/>
        <v>1932516183.5312397</v>
      </c>
      <c r="BR172" s="20">
        <f t="shared" si="38"/>
        <v>1958706183.5312397</v>
      </c>
      <c r="BS172" s="36">
        <f t="shared" si="38"/>
        <v>1932516183.5312397</v>
      </c>
      <c r="BT172" s="20">
        <f t="shared" si="38"/>
        <v>1960161183.5312397</v>
      </c>
      <c r="BU172" s="20">
        <f t="shared" si="38"/>
        <v>1956523683.5312397</v>
      </c>
      <c r="BV172" s="20">
        <f t="shared" si="38"/>
        <v>1963798683.5312397</v>
      </c>
      <c r="BW172" s="20">
        <f t="shared" si="38"/>
        <v>1960161183.5312397</v>
      </c>
      <c r="BX172" s="20">
        <f t="shared" si="38"/>
        <v>1956523683.5312397</v>
      </c>
      <c r="BY172" s="20">
        <f t="shared" si="38"/>
        <v>1963798683.5312397</v>
      </c>
      <c r="BZ172" s="20">
        <f t="shared" si="38"/>
        <v>1968651183.5312397</v>
      </c>
      <c r="CA172" s="20">
        <f t="shared" si="38"/>
        <v>1962891183.5312397</v>
      </c>
      <c r="CB172" s="20">
        <f t="shared" si="38"/>
        <v>1974411183.5312397</v>
      </c>
      <c r="CC172" s="20">
        <f t="shared" si="38"/>
        <v>1968651183.5312397</v>
      </c>
      <c r="CD172" s="20">
        <f t="shared" si="38"/>
        <v>1962891183.5312397</v>
      </c>
      <c r="CE172" s="20">
        <f t="shared" si="38"/>
        <v>1974411183.5312397</v>
      </c>
      <c r="CF172" s="20">
        <f t="shared" si="38"/>
        <v>1945611183.5312397</v>
      </c>
      <c r="CG172" s="20">
        <f t="shared" si="38"/>
        <v>1945611183.5312397</v>
      </c>
      <c r="CH172" s="20">
        <f t="shared" si="38"/>
        <v>1945611183.5312397</v>
      </c>
      <c r="CI172" s="20">
        <f t="shared" si="38"/>
        <v>1945611183.5312397</v>
      </c>
      <c r="CJ172" s="36">
        <f t="shared" si="38"/>
        <v>1945611183.5312397</v>
      </c>
      <c r="CK172" s="20">
        <f t="shared" si="38"/>
        <v>1945611183.5312397</v>
      </c>
      <c r="CL172" s="36">
        <f t="shared" si="38"/>
        <v>1945611183.5312397</v>
      </c>
      <c r="CM172" s="20">
        <f t="shared" si="38"/>
        <v>1945611183.5312397</v>
      </c>
      <c r="CN172" s="20">
        <f t="shared" si="38"/>
        <v>1945611183.5312397</v>
      </c>
      <c r="CO172" s="20">
        <f t="shared" si="38"/>
        <v>1945611183.5312397</v>
      </c>
      <c r="CP172" s="20">
        <f t="shared" si="38"/>
        <v>1945611183.5312397</v>
      </c>
      <c r="CQ172" s="20">
        <f t="shared" si="38"/>
        <v>1945611183.5312397</v>
      </c>
      <c r="CR172" s="20">
        <f t="shared" si="38"/>
        <v>1945611183.5312397</v>
      </c>
      <c r="CS172" s="20">
        <f t="shared" si="38"/>
        <v>1945611183.5312397</v>
      </c>
    </row>
    <row r="173" spans="1:97" s="20" customFormat="1" x14ac:dyDescent="0.25">
      <c r="A173" s="21" t="s">
        <v>172</v>
      </c>
      <c r="C173" s="24">
        <f>(C50*0.05)+(C51*0.15)+(C52*0.05)+(C53*0.1)+(C54*0.15)</f>
        <v>374760229.07450002</v>
      </c>
      <c r="D173" s="20">
        <f t="shared" ref="D173:BO173" si="39">(D50*0.05)+(D51*0.15)+(D52*0.05)+(D53*0.1)+(D54*0.15)</f>
        <v>374760229.07450002</v>
      </c>
      <c r="E173" s="20">
        <f t="shared" si="39"/>
        <v>374760229.07450002</v>
      </c>
      <c r="F173" s="20">
        <f t="shared" si="39"/>
        <v>374760229.07450002</v>
      </c>
      <c r="G173" s="20">
        <f t="shared" si="39"/>
        <v>374760229.07450002</v>
      </c>
      <c r="H173" s="20">
        <f t="shared" si="39"/>
        <v>374760229.07450002</v>
      </c>
      <c r="I173" s="20">
        <f t="shared" si="39"/>
        <v>374760229.07450002</v>
      </c>
      <c r="J173" s="20">
        <f t="shared" si="39"/>
        <v>374760229.07450002</v>
      </c>
      <c r="K173" s="26">
        <f t="shared" si="39"/>
        <v>374760229.07450002</v>
      </c>
      <c r="L173" s="24">
        <f t="shared" si="39"/>
        <v>374760229.07450002</v>
      </c>
      <c r="M173" s="20">
        <f t="shared" si="39"/>
        <v>397260229.07450002</v>
      </c>
      <c r="N173" s="20">
        <f t="shared" si="39"/>
        <v>352260229.07450002</v>
      </c>
      <c r="O173" s="24">
        <f t="shared" si="39"/>
        <v>369760229.07450002</v>
      </c>
      <c r="P173" s="20">
        <f t="shared" si="39"/>
        <v>379760229.07450002</v>
      </c>
      <c r="Q173" s="20">
        <f t="shared" si="39"/>
        <v>331966823.17699999</v>
      </c>
      <c r="R173" s="26">
        <f t="shared" si="39"/>
        <v>341966823.17699999</v>
      </c>
      <c r="S173" s="26">
        <f t="shared" si="39"/>
        <v>335466823.17699999</v>
      </c>
      <c r="T173" s="24">
        <f t="shared" si="39"/>
        <v>338466823.17699999</v>
      </c>
      <c r="U173" s="40">
        <f t="shared" si="39"/>
        <v>336966823.17699999</v>
      </c>
      <c r="V173" s="40">
        <f t="shared" si="39"/>
        <v>336966823.17699999</v>
      </c>
      <c r="W173" s="40">
        <f t="shared" si="39"/>
        <v>336966823.17699999</v>
      </c>
      <c r="X173" s="40">
        <f t="shared" si="39"/>
        <v>336966823.17699999</v>
      </c>
      <c r="Y173" s="24">
        <f t="shared" si="39"/>
        <v>336966823.17699999</v>
      </c>
      <c r="Z173" s="40">
        <f t="shared" si="39"/>
        <v>336966823.17699999</v>
      </c>
      <c r="AA173" s="40">
        <f t="shared" si="39"/>
        <v>336966823.17699999</v>
      </c>
      <c r="AB173" s="40">
        <f t="shared" si="39"/>
        <v>336966823.17699999</v>
      </c>
      <c r="AC173" s="40">
        <f t="shared" si="39"/>
        <v>336966823.17699999</v>
      </c>
      <c r="AD173" s="44">
        <f t="shared" si="39"/>
        <v>336966823.17699999</v>
      </c>
      <c r="AE173" s="20">
        <f t="shared" si="39"/>
        <v>336966823.17699999</v>
      </c>
      <c r="AF173" s="20">
        <f t="shared" si="39"/>
        <v>378564752.75850004</v>
      </c>
      <c r="AG173" s="20">
        <f t="shared" si="39"/>
        <v>378564752.75850004</v>
      </c>
      <c r="AH173" s="20">
        <f t="shared" si="39"/>
        <v>378564752.75850004</v>
      </c>
      <c r="AI173" s="20">
        <f t="shared" si="39"/>
        <v>378564752.75850004</v>
      </c>
      <c r="AJ173" s="24">
        <f t="shared" si="39"/>
        <v>378564752.75850004</v>
      </c>
      <c r="AK173" s="40">
        <f t="shared" si="39"/>
        <v>378564752.75850004</v>
      </c>
      <c r="AL173" s="40">
        <f t="shared" si="39"/>
        <v>378564752.75850004</v>
      </c>
      <c r="AM173" s="40">
        <f t="shared" si="39"/>
        <v>378564752.75850004</v>
      </c>
      <c r="AN173" s="40">
        <f t="shared" si="39"/>
        <v>378564752.75850004</v>
      </c>
      <c r="AO173" s="20">
        <f t="shared" si="39"/>
        <v>378564752.75850004</v>
      </c>
      <c r="AP173" s="24">
        <f t="shared" si="39"/>
        <v>378564752.75850004</v>
      </c>
      <c r="AQ173" s="20">
        <f t="shared" si="39"/>
        <v>378564752.75850004</v>
      </c>
      <c r="AR173" s="20">
        <f t="shared" si="39"/>
        <v>378564752.75850004</v>
      </c>
      <c r="AS173" s="20">
        <f t="shared" si="39"/>
        <v>378564752.75850004</v>
      </c>
      <c r="AT173" s="20">
        <f t="shared" si="39"/>
        <v>378564752.75850004</v>
      </c>
      <c r="AU173" s="20">
        <f t="shared" si="39"/>
        <v>378564752.75850004</v>
      </c>
      <c r="AV173" s="24">
        <f t="shared" si="39"/>
        <v>378564752.75850004</v>
      </c>
      <c r="AW173" s="20">
        <f t="shared" si="39"/>
        <v>378564752.75850004</v>
      </c>
      <c r="AX173" s="20">
        <f t="shared" si="39"/>
        <v>378564752.75850004</v>
      </c>
      <c r="AY173" s="20">
        <f t="shared" si="39"/>
        <v>378564752.75850004</v>
      </c>
      <c r="AZ173" s="20">
        <f t="shared" si="39"/>
        <v>378564752.75850004</v>
      </c>
      <c r="BA173" s="20">
        <f t="shared" si="39"/>
        <v>378564752.75850004</v>
      </c>
      <c r="BB173" s="24">
        <f t="shared" si="39"/>
        <v>378564752.75850004</v>
      </c>
      <c r="BC173" s="20">
        <f t="shared" si="39"/>
        <v>378564752.75850004</v>
      </c>
      <c r="BD173" s="20">
        <f t="shared" si="39"/>
        <v>378564752.75850004</v>
      </c>
      <c r="BE173" s="20">
        <f t="shared" si="39"/>
        <v>378564752.75850004</v>
      </c>
      <c r="BF173" s="44">
        <f t="shared" si="39"/>
        <v>378564752.75850004</v>
      </c>
      <c r="BG173" s="20">
        <f t="shared" si="39"/>
        <v>370381495.39950001</v>
      </c>
      <c r="BH173" s="26">
        <f t="shared" si="39"/>
        <v>370381495.39950001</v>
      </c>
      <c r="BI173" s="24">
        <f t="shared" si="39"/>
        <v>370381495.39950001</v>
      </c>
      <c r="BJ173" s="36">
        <f t="shared" si="39"/>
        <v>370381495.39950001</v>
      </c>
      <c r="BK173" s="20">
        <f t="shared" si="39"/>
        <v>370381495.39950001</v>
      </c>
      <c r="BL173" s="36">
        <f t="shared" si="39"/>
        <v>371131495.39950001</v>
      </c>
      <c r="BM173" s="20">
        <f t="shared" si="39"/>
        <v>369631495.39950001</v>
      </c>
      <c r="BN173" s="20">
        <f t="shared" si="39"/>
        <v>370381495.39950001</v>
      </c>
      <c r="BO173" s="20">
        <f t="shared" si="39"/>
        <v>370381495.39950001</v>
      </c>
      <c r="BP173" s="20">
        <f t="shared" ref="BP173:CS173" si="40">(BP50*0.05)+(BP51*0.15)+(BP52*0.05)+(BP53*0.1)+(BP54*0.15)</f>
        <v>370381495.39950001</v>
      </c>
      <c r="BQ173" s="36">
        <f t="shared" si="40"/>
        <v>370381495.39950001</v>
      </c>
      <c r="BR173" s="20">
        <f t="shared" si="40"/>
        <v>371131495.39950001</v>
      </c>
      <c r="BS173" s="36">
        <f t="shared" si="40"/>
        <v>369631495.39950001</v>
      </c>
      <c r="BT173" s="20">
        <f t="shared" si="40"/>
        <v>370381495.39950001</v>
      </c>
      <c r="BU173" s="20">
        <f t="shared" si="40"/>
        <v>370381495.39950001</v>
      </c>
      <c r="BV173" s="20">
        <f t="shared" si="40"/>
        <v>370381495.39950001</v>
      </c>
      <c r="BW173" s="20">
        <f t="shared" si="40"/>
        <v>370381495.39950001</v>
      </c>
      <c r="BX173" s="20">
        <f t="shared" si="40"/>
        <v>370131495.39950001</v>
      </c>
      <c r="BY173" s="20">
        <f t="shared" si="40"/>
        <v>370631495.39950001</v>
      </c>
      <c r="BZ173" s="20">
        <f t="shared" si="40"/>
        <v>370381495.39950001</v>
      </c>
      <c r="CA173" s="20">
        <f t="shared" si="40"/>
        <v>370381495.39950001</v>
      </c>
      <c r="CB173" s="20">
        <f t="shared" si="40"/>
        <v>370381495.39950001</v>
      </c>
      <c r="CC173" s="20">
        <f t="shared" si="40"/>
        <v>370381495.39950001</v>
      </c>
      <c r="CD173" s="20">
        <f t="shared" si="40"/>
        <v>369881495.39950001</v>
      </c>
      <c r="CE173" s="20">
        <f t="shared" si="40"/>
        <v>370881495.39950001</v>
      </c>
      <c r="CF173" s="20">
        <f t="shared" si="40"/>
        <v>370381495.39950001</v>
      </c>
      <c r="CG173" s="20">
        <f t="shared" si="40"/>
        <v>370381495.39950001</v>
      </c>
      <c r="CH173" s="20">
        <f t="shared" si="40"/>
        <v>370381495.39950001</v>
      </c>
      <c r="CI173" s="20">
        <f t="shared" si="40"/>
        <v>370381495.39950001</v>
      </c>
      <c r="CJ173" s="36">
        <f t="shared" si="40"/>
        <v>370131495.39950001</v>
      </c>
      <c r="CK173" s="20">
        <f t="shared" si="40"/>
        <v>370631495.39950001</v>
      </c>
      <c r="CL173" s="36">
        <f t="shared" si="40"/>
        <v>370381495.39950001</v>
      </c>
      <c r="CM173" s="20">
        <f t="shared" si="40"/>
        <v>370381495.39950001</v>
      </c>
      <c r="CN173" s="20">
        <f t="shared" si="40"/>
        <v>369881495.39950001</v>
      </c>
      <c r="CO173" s="20">
        <f t="shared" si="40"/>
        <v>370881495.39950001</v>
      </c>
      <c r="CP173" s="20">
        <f t="shared" si="40"/>
        <v>370381495.39950001</v>
      </c>
      <c r="CQ173" s="20">
        <f t="shared" si="40"/>
        <v>370381495.39950001</v>
      </c>
      <c r="CR173" s="20">
        <f t="shared" si="40"/>
        <v>369631495.39950001</v>
      </c>
      <c r="CS173" s="20">
        <f t="shared" si="40"/>
        <v>371131495.39950001</v>
      </c>
    </row>
    <row r="174" spans="1:97" s="20" customFormat="1" x14ac:dyDescent="0.25">
      <c r="A174" s="21" t="s">
        <v>173</v>
      </c>
      <c r="C174" s="24">
        <f>(C50*0.05)+(C51*0.15)+(C52*0.05)+(C53*0.1)+(C54*0.15)</f>
        <v>374760229.07450002</v>
      </c>
      <c r="D174" s="20">
        <f t="shared" ref="D174:BO174" si="41">(D50*0.05)+(D51*0.15)+(D52*0.05)+(D53*0.1)+(D54*0.15)</f>
        <v>374760229.07450002</v>
      </c>
      <c r="E174" s="20">
        <f t="shared" si="41"/>
        <v>374760229.07450002</v>
      </c>
      <c r="F174" s="20">
        <f t="shared" si="41"/>
        <v>374760229.07450002</v>
      </c>
      <c r="G174" s="20">
        <f t="shared" si="41"/>
        <v>374760229.07450002</v>
      </c>
      <c r="H174" s="20">
        <f t="shared" si="41"/>
        <v>374760229.07450002</v>
      </c>
      <c r="I174" s="20">
        <f t="shared" si="41"/>
        <v>374760229.07450002</v>
      </c>
      <c r="J174" s="20">
        <f t="shared" si="41"/>
        <v>374760229.07450002</v>
      </c>
      <c r="K174" s="26">
        <f t="shared" si="41"/>
        <v>374760229.07450002</v>
      </c>
      <c r="L174" s="24">
        <f t="shared" si="41"/>
        <v>374760229.07450002</v>
      </c>
      <c r="M174" s="20">
        <f t="shared" si="41"/>
        <v>397260229.07450002</v>
      </c>
      <c r="N174" s="20">
        <f t="shared" si="41"/>
        <v>352260229.07450002</v>
      </c>
      <c r="O174" s="24">
        <f t="shared" si="41"/>
        <v>369760229.07450002</v>
      </c>
      <c r="P174" s="20">
        <f t="shared" si="41"/>
        <v>379760229.07450002</v>
      </c>
      <c r="Q174" s="20">
        <f t="shared" si="41"/>
        <v>331966823.17699999</v>
      </c>
      <c r="R174" s="26">
        <f t="shared" si="41"/>
        <v>341966823.17699999</v>
      </c>
      <c r="S174" s="26">
        <f t="shared" si="41"/>
        <v>335466823.17699999</v>
      </c>
      <c r="T174" s="24">
        <f t="shared" si="41"/>
        <v>338466823.17699999</v>
      </c>
      <c r="U174" s="40">
        <f t="shared" si="41"/>
        <v>336966823.17699999</v>
      </c>
      <c r="V174" s="40">
        <f t="shared" si="41"/>
        <v>336966823.17699999</v>
      </c>
      <c r="W174" s="40">
        <f t="shared" si="41"/>
        <v>336966823.17699999</v>
      </c>
      <c r="X174" s="40">
        <f t="shared" si="41"/>
        <v>336966823.17699999</v>
      </c>
      <c r="Y174" s="24">
        <f t="shared" si="41"/>
        <v>336966823.17699999</v>
      </c>
      <c r="Z174" s="40">
        <f t="shared" si="41"/>
        <v>336966823.17699999</v>
      </c>
      <c r="AA174" s="40">
        <f t="shared" si="41"/>
        <v>336966823.17699999</v>
      </c>
      <c r="AB174" s="40">
        <f t="shared" si="41"/>
        <v>336966823.17699999</v>
      </c>
      <c r="AC174" s="40">
        <f t="shared" si="41"/>
        <v>336966823.17699999</v>
      </c>
      <c r="AD174" s="44">
        <f t="shared" si="41"/>
        <v>336966823.17699999</v>
      </c>
      <c r="AE174" s="20">
        <f t="shared" si="41"/>
        <v>336966823.17699999</v>
      </c>
      <c r="AF174" s="20">
        <f t="shared" si="41"/>
        <v>378564752.75850004</v>
      </c>
      <c r="AG174" s="20">
        <f t="shared" si="41"/>
        <v>378564752.75850004</v>
      </c>
      <c r="AH174" s="20">
        <f t="shared" si="41"/>
        <v>378564752.75850004</v>
      </c>
      <c r="AI174" s="20">
        <f t="shared" si="41"/>
        <v>378564752.75850004</v>
      </c>
      <c r="AJ174" s="24">
        <f t="shared" si="41"/>
        <v>378564752.75850004</v>
      </c>
      <c r="AK174" s="40">
        <f t="shared" si="41"/>
        <v>378564752.75850004</v>
      </c>
      <c r="AL174" s="40">
        <f t="shared" si="41"/>
        <v>378564752.75850004</v>
      </c>
      <c r="AM174" s="40">
        <f t="shared" si="41"/>
        <v>378564752.75850004</v>
      </c>
      <c r="AN174" s="40">
        <f t="shared" si="41"/>
        <v>378564752.75850004</v>
      </c>
      <c r="AO174" s="20">
        <f t="shared" si="41"/>
        <v>378564752.75850004</v>
      </c>
      <c r="AP174" s="24">
        <f t="shared" si="41"/>
        <v>378564752.75850004</v>
      </c>
      <c r="AQ174" s="20">
        <f t="shared" si="41"/>
        <v>378564752.75850004</v>
      </c>
      <c r="AR174" s="20">
        <f t="shared" si="41"/>
        <v>378564752.75850004</v>
      </c>
      <c r="AS174" s="20">
        <f t="shared" si="41"/>
        <v>378564752.75850004</v>
      </c>
      <c r="AT174" s="20">
        <f t="shared" si="41"/>
        <v>378564752.75850004</v>
      </c>
      <c r="AU174" s="20">
        <f t="shared" si="41"/>
        <v>378564752.75850004</v>
      </c>
      <c r="AV174" s="24">
        <f t="shared" si="41"/>
        <v>378564752.75850004</v>
      </c>
      <c r="AW174" s="20">
        <f t="shared" si="41"/>
        <v>378564752.75850004</v>
      </c>
      <c r="AX174" s="20">
        <f t="shared" si="41"/>
        <v>378564752.75850004</v>
      </c>
      <c r="AY174" s="20">
        <f t="shared" si="41"/>
        <v>378564752.75850004</v>
      </c>
      <c r="AZ174" s="20">
        <f t="shared" si="41"/>
        <v>378564752.75850004</v>
      </c>
      <c r="BA174" s="20">
        <f t="shared" si="41"/>
        <v>378564752.75850004</v>
      </c>
      <c r="BB174" s="24">
        <f t="shared" si="41"/>
        <v>378564752.75850004</v>
      </c>
      <c r="BC174" s="20">
        <f t="shared" si="41"/>
        <v>378564752.75850004</v>
      </c>
      <c r="BD174" s="20">
        <f t="shared" si="41"/>
        <v>378564752.75850004</v>
      </c>
      <c r="BE174" s="20">
        <f t="shared" si="41"/>
        <v>378564752.75850004</v>
      </c>
      <c r="BF174" s="44">
        <f t="shared" si="41"/>
        <v>378564752.75850004</v>
      </c>
      <c r="BG174" s="20">
        <f t="shared" si="41"/>
        <v>370381495.39950001</v>
      </c>
      <c r="BH174" s="26">
        <f t="shared" si="41"/>
        <v>370381495.39950001</v>
      </c>
      <c r="BI174" s="24">
        <f t="shared" si="41"/>
        <v>370381495.39950001</v>
      </c>
      <c r="BJ174" s="36">
        <f t="shared" si="41"/>
        <v>370381495.39950001</v>
      </c>
      <c r="BK174" s="20">
        <f t="shared" si="41"/>
        <v>370381495.39950001</v>
      </c>
      <c r="BL174" s="36">
        <f t="shared" si="41"/>
        <v>371131495.39950001</v>
      </c>
      <c r="BM174" s="20">
        <f t="shared" si="41"/>
        <v>369631495.39950001</v>
      </c>
      <c r="BN174" s="20">
        <f t="shared" si="41"/>
        <v>370381495.39950001</v>
      </c>
      <c r="BO174" s="20">
        <f t="shared" si="41"/>
        <v>370381495.39950001</v>
      </c>
      <c r="BP174" s="20">
        <f t="shared" ref="BP174:CS174" si="42">(BP50*0.05)+(BP51*0.15)+(BP52*0.05)+(BP53*0.1)+(BP54*0.15)</f>
        <v>370381495.39950001</v>
      </c>
      <c r="BQ174" s="36">
        <f t="shared" si="42"/>
        <v>370381495.39950001</v>
      </c>
      <c r="BR174" s="20">
        <f t="shared" si="42"/>
        <v>371131495.39950001</v>
      </c>
      <c r="BS174" s="36">
        <f t="shared" si="42"/>
        <v>369631495.39950001</v>
      </c>
      <c r="BT174" s="20">
        <f t="shared" si="42"/>
        <v>370381495.39950001</v>
      </c>
      <c r="BU174" s="20">
        <f t="shared" si="42"/>
        <v>370381495.39950001</v>
      </c>
      <c r="BV174" s="20">
        <f t="shared" si="42"/>
        <v>370381495.39950001</v>
      </c>
      <c r="BW174" s="20">
        <f t="shared" si="42"/>
        <v>370381495.39950001</v>
      </c>
      <c r="BX174" s="20">
        <f t="shared" si="42"/>
        <v>370131495.39950001</v>
      </c>
      <c r="BY174" s="20">
        <f t="shared" si="42"/>
        <v>370631495.39950001</v>
      </c>
      <c r="BZ174" s="20">
        <f t="shared" si="42"/>
        <v>370381495.39950001</v>
      </c>
      <c r="CA174" s="20">
        <f t="shared" si="42"/>
        <v>370381495.39950001</v>
      </c>
      <c r="CB174" s="20">
        <f t="shared" si="42"/>
        <v>370381495.39950001</v>
      </c>
      <c r="CC174" s="20">
        <f t="shared" si="42"/>
        <v>370381495.39950001</v>
      </c>
      <c r="CD174" s="20">
        <f t="shared" si="42"/>
        <v>369881495.39950001</v>
      </c>
      <c r="CE174" s="20">
        <f t="shared" si="42"/>
        <v>370881495.39950001</v>
      </c>
      <c r="CF174" s="20">
        <f t="shared" si="42"/>
        <v>370381495.39950001</v>
      </c>
      <c r="CG174" s="20">
        <f t="shared" si="42"/>
        <v>370381495.39950001</v>
      </c>
      <c r="CH174" s="20">
        <f t="shared" si="42"/>
        <v>370381495.39950001</v>
      </c>
      <c r="CI174" s="20">
        <f t="shared" si="42"/>
        <v>370381495.39950001</v>
      </c>
      <c r="CJ174" s="36">
        <f t="shared" si="42"/>
        <v>370131495.39950001</v>
      </c>
      <c r="CK174" s="20">
        <f t="shared" si="42"/>
        <v>370631495.39950001</v>
      </c>
      <c r="CL174" s="36">
        <f t="shared" si="42"/>
        <v>370381495.39950001</v>
      </c>
      <c r="CM174" s="20">
        <f t="shared" si="42"/>
        <v>370381495.39950001</v>
      </c>
      <c r="CN174" s="20">
        <f t="shared" si="42"/>
        <v>369881495.39950001</v>
      </c>
      <c r="CO174" s="20">
        <f t="shared" si="42"/>
        <v>370881495.39950001</v>
      </c>
      <c r="CP174" s="20">
        <f t="shared" si="42"/>
        <v>370381495.39950001</v>
      </c>
      <c r="CQ174" s="20">
        <f t="shared" si="42"/>
        <v>370381495.39950001</v>
      </c>
      <c r="CR174" s="20">
        <f t="shared" si="42"/>
        <v>369631495.39950001</v>
      </c>
      <c r="CS174" s="20">
        <f t="shared" si="42"/>
        <v>371131495.39950001</v>
      </c>
    </row>
    <row r="175" spans="1:97" s="20" customFormat="1" x14ac:dyDescent="0.25">
      <c r="A175" s="21" t="s">
        <v>174</v>
      </c>
      <c r="C175" s="24">
        <f>(C50*0.05)+(C51*0.15)+(C52*0.05)+(C53*0.1)+(C54*0.15)</f>
        <v>374760229.07450002</v>
      </c>
      <c r="D175" s="20">
        <f t="shared" ref="D175:BO175" si="43">(D50*0.05)+(D51*0.15)+(D52*0.05)+(D53*0.1)+(D54*0.15)</f>
        <v>374760229.07450002</v>
      </c>
      <c r="E175" s="20">
        <f t="shared" si="43"/>
        <v>374760229.07450002</v>
      </c>
      <c r="F175" s="20">
        <f t="shared" si="43"/>
        <v>374760229.07450002</v>
      </c>
      <c r="G175" s="20">
        <f t="shared" si="43"/>
        <v>374760229.07450002</v>
      </c>
      <c r="H175" s="20">
        <f t="shared" si="43"/>
        <v>374760229.07450002</v>
      </c>
      <c r="I175" s="20">
        <f t="shared" si="43"/>
        <v>374760229.07450002</v>
      </c>
      <c r="J175" s="20">
        <f t="shared" si="43"/>
        <v>374760229.07450002</v>
      </c>
      <c r="K175" s="26">
        <f t="shared" si="43"/>
        <v>374760229.07450002</v>
      </c>
      <c r="L175" s="24">
        <f t="shared" si="43"/>
        <v>374760229.07450002</v>
      </c>
      <c r="M175" s="20">
        <f t="shared" si="43"/>
        <v>397260229.07450002</v>
      </c>
      <c r="N175" s="20">
        <f t="shared" si="43"/>
        <v>352260229.07450002</v>
      </c>
      <c r="O175" s="24">
        <f t="shared" si="43"/>
        <v>369760229.07450002</v>
      </c>
      <c r="P175" s="20">
        <f t="shared" si="43"/>
        <v>379760229.07450002</v>
      </c>
      <c r="Q175" s="20">
        <f t="shared" si="43"/>
        <v>331966823.17699999</v>
      </c>
      <c r="R175" s="26">
        <f t="shared" si="43"/>
        <v>341966823.17699999</v>
      </c>
      <c r="S175" s="26">
        <f t="shared" si="43"/>
        <v>335466823.17699999</v>
      </c>
      <c r="T175" s="24">
        <f t="shared" si="43"/>
        <v>338466823.17699999</v>
      </c>
      <c r="U175" s="40">
        <f t="shared" si="43"/>
        <v>336966823.17699999</v>
      </c>
      <c r="V175" s="40">
        <f t="shared" si="43"/>
        <v>336966823.17699999</v>
      </c>
      <c r="W175" s="40">
        <f t="shared" si="43"/>
        <v>336966823.17699999</v>
      </c>
      <c r="X175" s="40">
        <f t="shared" si="43"/>
        <v>336966823.17699999</v>
      </c>
      <c r="Y175" s="24">
        <f t="shared" si="43"/>
        <v>336966823.17699999</v>
      </c>
      <c r="Z175" s="40">
        <f t="shared" si="43"/>
        <v>336966823.17699999</v>
      </c>
      <c r="AA175" s="40">
        <f t="shared" si="43"/>
        <v>336966823.17699999</v>
      </c>
      <c r="AB175" s="40">
        <f t="shared" si="43"/>
        <v>336966823.17699999</v>
      </c>
      <c r="AC175" s="40">
        <f t="shared" si="43"/>
        <v>336966823.17699999</v>
      </c>
      <c r="AD175" s="44">
        <f t="shared" si="43"/>
        <v>336966823.17699999</v>
      </c>
      <c r="AE175" s="20">
        <f t="shared" si="43"/>
        <v>336966823.17699999</v>
      </c>
      <c r="AF175" s="20">
        <f t="shared" si="43"/>
        <v>378564752.75850004</v>
      </c>
      <c r="AG175" s="20">
        <f t="shared" si="43"/>
        <v>378564752.75850004</v>
      </c>
      <c r="AH175" s="20">
        <f t="shared" si="43"/>
        <v>378564752.75850004</v>
      </c>
      <c r="AI175" s="20">
        <f t="shared" si="43"/>
        <v>378564752.75850004</v>
      </c>
      <c r="AJ175" s="24">
        <f t="shared" si="43"/>
        <v>378564752.75850004</v>
      </c>
      <c r="AK175" s="40">
        <f t="shared" si="43"/>
        <v>378564752.75850004</v>
      </c>
      <c r="AL175" s="40">
        <f t="shared" si="43"/>
        <v>378564752.75850004</v>
      </c>
      <c r="AM175" s="40">
        <f t="shared" si="43"/>
        <v>378564752.75850004</v>
      </c>
      <c r="AN175" s="40">
        <f t="shared" si="43"/>
        <v>378564752.75850004</v>
      </c>
      <c r="AO175" s="20">
        <f t="shared" si="43"/>
        <v>378564752.75850004</v>
      </c>
      <c r="AP175" s="24">
        <f t="shared" si="43"/>
        <v>378564752.75850004</v>
      </c>
      <c r="AQ175" s="20">
        <f t="shared" si="43"/>
        <v>378564752.75850004</v>
      </c>
      <c r="AR175" s="20">
        <f t="shared" si="43"/>
        <v>378564752.75850004</v>
      </c>
      <c r="AS175" s="20">
        <f t="shared" si="43"/>
        <v>378564752.75850004</v>
      </c>
      <c r="AT175" s="20">
        <f t="shared" si="43"/>
        <v>378564752.75850004</v>
      </c>
      <c r="AU175" s="20">
        <f t="shared" si="43"/>
        <v>378564752.75850004</v>
      </c>
      <c r="AV175" s="24">
        <f t="shared" si="43"/>
        <v>378564752.75850004</v>
      </c>
      <c r="AW175" s="20">
        <f t="shared" si="43"/>
        <v>378564752.75850004</v>
      </c>
      <c r="AX175" s="20">
        <f t="shared" si="43"/>
        <v>378564752.75850004</v>
      </c>
      <c r="AY175" s="20">
        <f t="shared" si="43"/>
        <v>378564752.75850004</v>
      </c>
      <c r="AZ175" s="20">
        <f t="shared" si="43"/>
        <v>378564752.75850004</v>
      </c>
      <c r="BA175" s="20">
        <f t="shared" si="43"/>
        <v>378564752.75850004</v>
      </c>
      <c r="BB175" s="24">
        <f t="shared" si="43"/>
        <v>378564752.75850004</v>
      </c>
      <c r="BC175" s="20">
        <f t="shared" si="43"/>
        <v>378564752.75850004</v>
      </c>
      <c r="BD175" s="20">
        <f t="shared" si="43"/>
        <v>378564752.75850004</v>
      </c>
      <c r="BE175" s="20">
        <f t="shared" si="43"/>
        <v>378564752.75850004</v>
      </c>
      <c r="BF175" s="44">
        <f t="shared" si="43"/>
        <v>378564752.75850004</v>
      </c>
      <c r="BG175" s="20">
        <f t="shared" si="43"/>
        <v>370381495.39950001</v>
      </c>
      <c r="BH175" s="26">
        <f t="shared" si="43"/>
        <v>370381495.39950001</v>
      </c>
      <c r="BI175" s="24">
        <f t="shared" si="43"/>
        <v>370381495.39950001</v>
      </c>
      <c r="BJ175" s="36">
        <f t="shared" si="43"/>
        <v>370381495.39950001</v>
      </c>
      <c r="BK175" s="20">
        <f t="shared" si="43"/>
        <v>370381495.39950001</v>
      </c>
      <c r="BL175" s="36">
        <f t="shared" si="43"/>
        <v>371131495.39950001</v>
      </c>
      <c r="BM175" s="20">
        <f t="shared" si="43"/>
        <v>369631495.39950001</v>
      </c>
      <c r="BN175" s="20">
        <f t="shared" si="43"/>
        <v>370381495.39950001</v>
      </c>
      <c r="BO175" s="20">
        <f t="shared" si="43"/>
        <v>370381495.39950001</v>
      </c>
      <c r="BP175" s="20">
        <f t="shared" ref="BP175:CS175" si="44">(BP50*0.05)+(BP51*0.15)+(BP52*0.05)+(BP53*0.1)+(BP54*0.15)</f>
        <v>370381495.39950001</v>
      </c>
      <c r="BQ175" s="36">
        <f t="shared" si="44"/>
        <v>370381495.39950001</v>
      </c>
      <c r="BR175" s="20">
        <f t="shared" si="44"/>
        <v>371131495.39950001</v>
      </c>
      <c r="BS175" s="36">
        <f t="shared" si="44"/>
        <v>369631495.39950001</v>
      </c>
      <c r="BT175" s="20">
        <f t="shared" si="44"/>
        <v>370381495.39950001</v>
      </c>
      <c r="BU175" s="20">
        <f t="shared" si="44"/>
        <v>370381495.39950001</v>
      </c>
      <c r="BV175" s="20">
        <f t="shared" si="44"/>
        <v>370381495.39950001</v>
      </c>
      <c r="BW175" s="20">
        <f t="shared" si="44"/>
        <v>370381495.39950001</v>
      </c>
      <c r="BX175" s="20">
        <f t="shared" si="44"/>
        <v>370131495.39950001</v>
      </c>
      <c r="BY175" s="20">
        <f t="shared" si="44"/>
        <v>370631495.39950001</v>
      </c>
      <c r="BZ175" s="20">
        <f t="shared" si="44"/>
        <v>370381495.39950001</v>
      </c>
      <c r="CA175" s="20">
        <f t="shared" si="44"/>
        <v>370381495.39950001</v>
      </c>
      <c r="CB175" s="20">
        <f t="shared" si="44"/>
        <v>370381495.39950001</v>
      </c>
      <c r="CC175" s="20">
        <f t="shared" si="44"/>
        <v>370381495.39950001</v>
      </c>
      <c r="CD175" s="20">
        <f t="shared" si="44"/>
        <v>369881495.39950001</v>
      </c>
      <c r="CE175" s="20">
        <f t="shared" si="44"/>
        <v>370881495.39950001</v>
      </c>
      <c r="CF175" s="20">
        <f t="shared" si="44"/>
        <v>370381495.39950001</v>
      </c>
      <c r="CG175" s="20">
        <f t="shared" si="44"/>
        <v>370381495.39950001</v>
      </c>
      <c r="CH175" s="20">
        <f t="shared" si="44"/>
        <v>370381495.39950001</v>
      </c>
      <c r="CI175" s="20">
        <f t="shared" si="44"/>
        <v>370381495.39950001</v>
      </c>
      <c r="CJ175" s="36">
        <f t="shared" si="44"/>
        <v>370131495.39950001</v>
      </c>
      <c r="CK175" s="20">
        <f t="shared" si="44"/>
        <v>370631495.39950001</v>
      </c>
      <c r="CL175" s="36">
        <f t="shared" si="44"/>
        <v>370381495.39950001</v>
      </c>
      <c r="CM175" s="20">
        <f t="shared" si="44"/>
        <v>370381495.39950001</v>
      </c>
      <c r="CN175" s="20">
        <f t="shared" si="44"/>
        <v>369881495.39950001</v>
      </c>
      <c r="CO175" s="20">
        <f t="shared" si="44"/>
        <v>370881495.39950001</v>
      </c>
      <c r="CP175" s="20">
        <f t="shared" si="44"/>
        <v>370381495.39950001</v>
      </c>
      <c r="CQ175" s="20">
        <f t="shared" si="44"/>
        <v>370381495.39950001</v>
      </c>
      <c r="CR175" s="20">
        <f t="shared" si="44"/>
        <v>369631495.39950001</v>
      </c>
      <c r="CS175" s="20">
        <f t="shared" si="44"/>
        <v>371131495.39950001</v>
      </c>
    </row>
    <row r="176" spans="1:97" s="20" customFormat="1" x14ac:dyDescent="0.25">
      <c r="A176" s="21" t="s">
        <v>175</v>
      </c>
      <c r="C176" s="24">
        <f>(C50*0.1)+(C51*0.25)+(C52*0.05)+(C53*0.15)+(C54*0.25)</f>
        <v>625783907.29250002</v>
      </c>
      <c r="D176" s="20">
        <f t="shared" ref="D176:BO176" si="45">(D50*0.1)+(D51*0.25)+(D52*0.05)+(D53*0.15)+(D54*0.25)</f>
        <v>625783907.29250002</v>
      </c>
      <c r="E176" s="20">
        <f t="shared" si="45"/>
        <v>625783907.29250002</v>
      </c>
      <c r="F176" s="20">
        <f t="shared" si="45"/>
        <v>625783907.29250002</v>
      </c>
      <c r="G176" s="20">
        <f t="shared" si="45"/>
        <v>625783907.29250002</v>
      </c>
      <c r="H176" s="20">
        <f t="shared" si="45"/>
        <v>625783907.29250002</v>
      </c>
      <c r="I176" s="20">
        <f t="shared" si="45"/>
        <v>625783907.29250002</v>
      </c>
      <c r="J176" s="20">
        <f t="shared" si="45"/>
        <v>625783907.29250002</v>
      </c>
      <c r="K176" s="26">
        <f t="shared" si="45"/>
        <v>625783907.29250002</v>
      </c>
      <c r="L176" s="24">
        <f t="shared" si="45"/>
        <v>625783907.29250002</v>
      </c>
      <c r="M176" s="20">
        <f t="shared" si="45"/>
        <v>663283907.29250002</v>
      </c>
      <c r="N176" s="20">
        <f t="shared" si="45"/>
        <v>588283907.29250002</v>
      </c>
      <c r="O176" s="24">
        <f t="shared" si="45"/>
        <v>620783907.29250002</v>
      </c>
      <c r="P176" s="20">
        <f t="shared" si="45"/>
        <v>630783907.29250002</v>
      </c>
      <c r="Q176" s="20">
        <f t="shared" si="45"/>
        <v>555087213.2895</v>
      </c>
      <c r="R176" s="26">
        <f t="shared" si="45"/>
        <v>570087213.2895</v>
      </c>
      <c r="S176" s="26">
        <f t="shared" si="45"/>
        <v>560087213.2895</v>
      </c>
      <c r="T176" s="24">
        <f t="shared" si="45"/>
        <v>565087213.2895</v>
      </c>
      <c r="U176" s="40">
        <f t="shared" si="45"/>
        <v>562587213.2895</v>
      </c>
      <c r="V176" s="40">
        <f t="shared" si="45"/>
        <v>562587213.2895</v>
      </c>
      <c r="W176" s="40">
        <f t="shared" si="45"/>
        <v>562587213.2895</v>
      </c>
      <c r="X176" s="40">
        <f t="shared" si="45"/>
        <v>562587213.2895</v>
      </c>
      <c r="Y176" s="24">
        <f t="shared" si="45"/>
        <v>562587213.2895</v>
      </c>
      <c r="Z176" s="40">
        <f t="shared" si="45"/>
        <v>562587213.2895</v>
      </c>
      <c r="AA176" s="40">
        <f t="shared" si="45"/>
        <v>562587213.2895</v>
      </c>
      <c r="AB176" s="40">
        <f t="shared" si="45"/>
        <v>562587213.2895</v>
      </c>
      <c r="AC176" s="40">
        <f t="shared" si="45"/>
        <v>562587213.2895</v>
      </c>
      <c r="AD176" s="44">
        <f t="shared" si="45"/>
        <v>562587213.2895</v>
      </c>
      <c r="AE176" s="20">
        <f t="shared" si="45"/>
        <v>562587213.2895</v>
      </c>
      <c r="AF176" s="20">
        <f t="shared" si="45"/>
        <v>627012914.5575</v>
      </c>
      <c r="AG176" s="20">
        <f t="shared" si="45"/>
        <v>627012914.5575</v>
      </c>
      <c r="AH176" s="20">
        <f t="shared" si="45"/>
        <v>627012914.5575</v>
      </c>
      <c r="AI176" s="20">
        <f t="shared" si="45"/>
        <v>627012914.5575</v>
      </c>
      <c r="AJ176" s="24">
        <f t="shared" si="45"/>
        <v>627012914.5575</v>
      </c>
      <c r="AK176" s="40">
        <f t="shared" si="45"/>
        <v>627012914.5575</v>
      </c>
      <c r="AL176" s="40">
        <f t="shared" si="45"/>
        <v>627012914.5575</v>
      </c>
      <c r="AM176" s="40">
        <f t="shared" si="45"/>
        <v>627012914.5575</v>
      </c>
      <c r="AN176" s="40">
        <f t="shared" si="45"/>
        <v>627012914.5575</v>
      </c>
      <c r="AO176" s="20">
        <f t="shared" si="45"/>
        <v>627012914.5575</v>
      </c>
      <c r="AP176" s="24">
        <f t="shared" si="45"/>
        <v>627012914.5575</v>
      </c>
      <c r="AQ176" s="20">
        <f t="shared" si="45"/>
        <v>627012914.5575</v>
      </c>
      <c r="AR176" s="20">
        <f t="shared" si="45"/>
        <v>627012914.5575</v>
      </c>
      <c r="AS176" s="20">
        <f t="shared" si="45"/>
        <v>627012914.5575</v>
      </c>
      <c r="AT176" s="20">
        <f t="shared" si="45"/>
        <v>627012914.5575</v>
      </c>
      <c r="AU176" s="20">
        <f t="shared" si="45"/>
        <v>627012914.5575</v>
      </c>
      <c r="AV176" s="24">
        <f t="shared" si="45"/>
        <v>627012914.5575</v>
      </c>
      <c r="AW176" s="20">
        <f t="shared" si="45"/>
        <v>627012914.5575</v>
      </c>
      <c r="AX176" s="20">
        <f t="shared" si="45"/>
        <v>627012914.5575</v>
      </c>
      <c r="AY176" s="20">
        <f t="shared" si="45"/>
        <v>627012914.5575</v>
      </c>
      <c r="AZ176" s="20">
        <f t="shared" si="45"/>
        <v>627012914.5575</v>
      </c>
      <c r="BA176" s="20">
        <f t="shared" si="45"/>
        <v>627012914.5575</v>
      </c>
      <c r="BB176" s="24">
        <f t="shared" si="45"/>
        <v>627012914.5575</v>
      </c>
      <c r="BC176" s="20">
        <f t="shared" si="45"/>
        <v>627012914.5575</v>
      </c>
      <c r="BD176" s="20">
        <f t="shared" si="45"/>
        <v>627012914.5575</v>
      </c>
      <c r="BE176" s="20">
        <f t="shared" si="45"/>
        <v>627012914.5575</v>
      </c>
      <c r="BF176" s="44">
        <f t="shared" si="45"/>
        <v>627012914.5575</v>
      </c>
      <c r="BG176" s="20">
        <f t="shared" si="45"/>
        <v>614704929.52349997</v>
      </c>
      <c r="BH176" s="26">
        <f t="shared" si="45"/>
        <v>614704929.52349997</v>
      </c>
      <c r="BI176" s="24">
        <f t="shared" si="45"/>
        <v>614704929.52349997</v>
      </c>
      <c r="BJ176" s="36">
        <f t="shared" si="45"/>
        <v>614704929.52349997</v>
      </c>
      <c r="BK176" s="20">
        <f t="shared" si="45"/>
        <v>614704929.52349997</v>
      </c>
      <c r="BL176" s="36">
        <f t="shared" si="45"/>
        <v>616204929.52349997</v>
      </c>
      <c r="BM176" s="20">
        <f t="shared" si="45"/>
        <v>613204929.52349997</v>
      </c>
      <c r="BN176" s="20">
        <f t="shared" si="45"/>
        <v>614704929.52349997</v>
      </c>
      <c r="BO176" s="20">
        <f t="shared" si="45"/>
        <v>614704929.52349997</v>
      </c>
      <c r="BP176" s="20">
        <f t="shared" ref="BP176:CS176" si="46">(BP50*0.1)+(BP51*0.25)+(BP52*0.05)+(BP53*0.15)+(BP54*0.25)</f>
        <v>614704929.52349997</v>
      </c>
      <c r="BQ176" s="36">
        <f t="shared" si="46"/>
        <v>614704929.52349997</v>
      </c>
      <c r="BR176" s="20">
        <f t="shared" si="46"/>
        <v>616204929.52349997</v>
      </c>
      <c r="BS176" s="36">
        <f t="shared" si="46"/>
        <v>613204929.52349997</v>
      </c>
      <c r="BT176" s="20">
        <f t="shared" si="46"/>
        <v>614704929.52349997</v>
      </c>
      <c r="BU176" s="20">
        <f t="shared" si="46"/>
        <v>614704929.52349997</v>
      </c>
      <c r="BV176" s="20">
        <f t="shared" si="46"/>
        <v>614704929.52349997</v>
      </c>
      <c r="BW176" s="20">
        <f t="shared" si="46"/>
        <v>614704929.52349997</v>
      </c>
      <c r="BX176" s="20">
        <f t="shared" si="46"/>
        <v>614204929.52349997</v>
      </c>
      <c r="BY176" s="20">
        <f t="shared" si="46"/>
        <v>615204929.52349997</v>
      </c>
      <c r="BZ176" s="20">
        <f t="shared" si="46"/>
        <v>614704929.52349997</v>
      </c>
      <c r="CA176" s="20">
        <f t="shared" si="46"/>
        <v>614704929.52349997</v>
      </c>
      <c r="CB176" s="20">
        <f t="shared" si="46"/>
        <v>614704929.52349997</v>
      </c>
      <c r="CC176" s="20">
        <f t="shared" si="46"/>
        <v>614704929.52349997</v>
      </c>
      <c r="CD176" s="20">
        <f t="shared" si="46"/>
        <v>613704929.52349997</v>
      </c>
      <c r="CE176" s="20">
        <f t="shared" si="46"/>
        <v>615704929.52349997</v>
      </c>
      <c r="CF176" s="20">
        <f t="shared" si="46"/>
        <v>614704929.52349997</v>
      </c>
      <c r="CG176" s="20">
        <f t="shared" si="46"/>
        <v>614704929.52349997</v>
      </c>
      <c r="CH176" s="20">
        <f t="shared" si="46"/>
        <v>614704929.52349997</v>
      </c>
      <c r="CI176" s="20">
        <f t="shared" si="46"/>
        <v>614704929.52349997</v>
      </c>
      <c r="CJ176" s="36">
        <f t="shared" si="46"/>
        <v>614204929.52349997</v>
      </c>
      <c r="CK176" s="20">
        <f t="shared" si="46"/>
        <v>615204929.52349997</v>
      </c>
      <c r="CL176" s="36">
        <f t="shared" si="46"/>
        <v>614704929.52349997</v>
      </c>
      <c r="CM176" s="20">
        <f t="shared" si="46"/>
        <v>614704929.52349997</v>
      </c>
      <c r="CN176" s="20">
        <f t="shared" si="46"/>
        <v>613704929.52349997</v>
      </c>
      <c r="CO176" s="20">
        <f t="shared" si="46"/>
        <v>615704929.52349997</v>
      </c>
      <c r="CP176" s="20">
        <f t="shared" si="46"/>
        <v>614704929.52349997</v>
      </c>
      <c r="CQ176" s="20">
        <f t="shared" si="46"/>
        <v>614704929.52349997</v>
      </c>
      <c r="CR176" s="20">
        <f t="shared" si="46"/>
        <v>613204929.52349997</v>
      </c>
      <c r="CS176" s="20">
        <f t="shared" si="46"/>
        <v>616204929.52349997</v>
      </c>
    </row>
    <row r="177" spans="1:97" s="20" customFormat="1" x14ac:dyDescent="0.25">
      <c r="A177" s="21" t="s">
        <v>176</v>
      </c>
      <c r="C177" s="24">
        <f>(C50*0.2)+(C51*0.4)+(C52*0.1)+(C53*0.25)+(C54*0.4)</f>
        <v>1093115457.9219999</v>
      </c>
      <c r="D177" s="20">
        <f t="shared" ref="D177:BO177" si="47">(D50*0.2)+(D51*0.4)+(D52*0.1)+(D53*0.25)+(D54*0.4)</f>
        <v>1093115457.9219999</v>
      </c>
      <c r="E177" s="20">
        <f t="shared" si="47"/>
        <v>1093115457.9219999</v>
      </c>
      <c r="F177" s="20">
        <f t="shared" si="47"/>
        <v>1093115457.9219999</v>
      </c>
      <c r="G177" s="20">
        <f t="shared" si="47"/>
        <v>1093115457.9219999</v>
      </c>
      <c r="H177" s="20">
        <f t="shared" si="47"/>
        <v>1093115457.9219999</v>
      </c>
      <c r="I177" s="20">
        <f t="shared" si="47"/>
        <v>1093115457.9219999</v>
      </c>
      <c r="J177" s="20">
        <f t="shared" si="47"/>
        <v>1093115457.9219999</v>
      </c>
      <c r="K177" s="26">
        <f t="shared" si="47"/>
        <v>1093115457.9219999</v>
      </c>
      <c r="L177" s="24">
        <f t="shared" si="47"/>
        <v>1093115457.9219999</v>
      </c>
      <c r="M177" s="20">
        <f t="shared" si="47"/>
        <v>1153115457.9219999</v>
      </c>
      <c r="N177" s="20">
        <f t="shared" si="47"/>
        <v>1033115457.9220001</v>
      </c>
      <c r="O177" s="24">
        <f t="shared" si="47"/>
        <v>1083115457.9219999</v>
      </c>
      <c r="P177" s="20">
        <f t="shared" si="47"/>
        <v>1103115457.9219999</v>
      </c>
      <c r="Q177" s="20">
        <f t="shared" si="47"/>
        <v>976964624</v>
      </c>
      <c r="R177" s="26">
        <f t="shared" si="47"/>
        <v>1001964624</v>
      </c>
      <c r="S177" s="26">
        <f t="shared" si="47"/>
        <v>985464624</v>
      </c>
      <c r="T177" s="24">
        <f t="shared" si="47"/>
        <v>993464624</v>
      </c>
      <c r="U177" s="40">
        <f t="shared" si="47"/>
        <v>989464624</v>
      </c>
      <c r="V177" s="40">
        <f t="shared" si="47"/>
        <v>989464624</v>
      </c>
      <c r="W177" s="40">
        <f t="shared" si="47"/>
        <v>989464624</v>
      </c>
      <c r="X177" s="40">
        <f t="shared" si="47"/>
        <v>989464624</v>
      </c>
      <c r="Y177" s="24">
        <f t="shared" si="47"/>
        <v>989464624</v>
      </c>
      <c r="Z177" s="40">
        <f t="shared" si="47"/>
        <v>989464624</v>
      </c>
      <c r="AA177" s="40">
        <f t="shared" si="47"/>
        <v>989464624</v>
      </c>
      <c r="AB177" s="40">
        <f t="shared" si="47"/>
        <v>989464624</v>
      </c>
      <c r="AC177" s="40">
        <f t="shared" si="47"/>
        <v>989464624</v>
      </c>
      <c r="AD177" s="44">
        <f>(AD50*0.2)+(AD51*0.4)+(AD52*0.1)+(AD53*0.25)+(AD54*0.4)</f>
        <v>989464624</v>
      </c>
      <c r="AE177" s="20">
        <f t="shared" si="47"/>
        <v>989464624</v>
      </c>
      <c r="AF177" s="20">
        <f t="shared" si="47"/>
        <v>1099776534.0495</v>
      </c>
      <c r="AG177" s="20">
        <f t="shared" si="47"/>
        <v>1099776534.0495</v>
      </c>
      <c r="AH177" s="20">
        <f t="shared" si="47"/>
        <v>1099776534.0495</v>
      </c>
      <c r="AI177" s="20">
        <f t="shared" si="47"/>
        <v>1099776534.0495</v>
      </c>
      <c r="AJ177" s="24">
        <f t="shared" si="47"/>
        <v>1099776534.0495</v>
      </c>
      <c r="AK177" s="40">
        <f t="shared" si="47"/>
        <v>1099776534.0495</v>
      </c>
      <c r="AL177" s="40">
        <f t="shared" si="47"/>
        <v>1099776534.0495</v>
      </c>
      <c r="AM177" s="40">
        <f t="shared" si="47"/>
        <v>1099776534.0495</v>
      </c>
      <c r="AN177" s="40">
        <f t="shared" si="47"/>
        <v>1099776534.0495</v>
      </c>
      <c r="AO177" s="20">
        <f t="shared" si="47"/>
        <v>1099776534.0495</v>
      </c>
      <c r="AP177" s="24">
        <f t="shared" si="47"/>
        <v>1099776534.0495</v>
      </c>
      <c r="AQ177" s="20">
        <f t="shared" si="47"/>
        <v>1099776534.0495</v>
      </c>
      <c r="AR177" s="20">
        <f t="shared" si="47"/>
        <v>1099776534.0495</v>
      </c>
      <c r="AS177" s="20">
        <f t="shared" si="47"/>
        <v>1099776534.0495</v>
      </c>
      <c r="AT177" s="20">
        <f t="shared" si="47"/>
        <v>1099776534.0495</v>
      </c>
      <c r="AU177" s="20">
        <f t="shared" si="47"/>
        <v>1099776534.0495</v>
      </c>
      <c r="AV177" s="24">
        <f t="shared" si="47"/>
        <v>1099776534.0495</v>
      </c>
      <c r="AW177" s="20">
        <f t="shared" si="47"/>
        <v>1099776534.0495</v>
      </c>
      <c r="AX177" s="20">
        <f t="shared" si="47"/>
        <v>1099776534.0495</v>
      </c>
      <c r="AY177" s="20">
        <f t="shared" si="47"/>
        <v>1099776534.0495</v>
      </c>
      <c r="AZ177" s="20">
        <f t="shared" si="47"/>
        <v>1099776534.0495</v>
      </c>
      <c r="BA177" s="20">
        <f t="shared" si="47"/>
        <v>1099776534.0495</v>
      </c>
      <c r="BB177" s="24">
        <f t="shared" si="47"/>
        <v>1099776534.0495</v>
      </c>
      <c r="BC177" s="20">
        <f t="shared" si="47"/>
        <v>1099776534.0495</v>
      </c>
      <c r="BD177" s="20">
        <f t="shared" si="47"/>
        <v>1099776534.0495</v>
      </c>
      <c r="BE177" s="20">
        <f t="shared" si="47"/>
        <v>1099776534.0495</v>
      </c>
      <c r="BF177" s="44">
        <f t="shared" si="47"/>
        <v>1099776534.0495</v>
      </c>
      <c r="BG177" s="20">
        <f t="shared" si="47"/>
        <v>1079575403.079</v>
      </c>
      <c r="BH177" s="26">
        <f t="shared" si="47"/>
        <v>1079575403.079</v>
      </c>
      <c r="BI177" s="24">
        <f t="shared" si="47"/>
        <v>1079575403.079</v>
      </c>
      <c r="BJ177" s="36">
        <f t="shared" si="47"/>
        <v>1079575403.079</v>
      </c>
      <c r="BK177" s="20">
        <f t="shared" si="47"/>
        <v>1079575403.079</v>
      </c>
      <c r="BL177" s="36">
        <f t="shared" si="47"/>
        <v>1082575403.079</v>
      </c>
      <c r="BM177" s="20">
        <f t="shared" si="47"/>
        <v>1076575403.079</v>
      </c>
      <c r="BN177" s="20">
        <f t="shared" si="47"/>
        <v>1079575403.079</v>
      </c>
      <c r="BO177" s="20">
        <f t="shared" si="47"/>
        <v>1079575403.079</v>
      </c>
      <c r="BP177" s="20">
        <f t="shared" ref="BP177:CS177" si="48">(BP50*0.2)+(BP51*0.4)+(BP52*0.1)+(BP53*0.25)+(BP54*0.4)</f>
        <v>1079575403.079</v>
      </c>
      <c r="BQ177" s="36">
        <f t="shared" si="48"/>
        <v>1079575403.079</v>
      </c>
      <c r="BR177" s="20">
        <f t="shared" si="48"/>
        <v>1082575403.079</v>
      </c>
      <c r="BS177" s="36">
        <f t="shared" si="48"/>
        <v>1076575403.079</v>
      </c>
      <c r="BT177" s="20">
        <f t="shared" si="48"/>
        <v>1079575403.079</v>
      </c>
      <c r="BU177" s="20">
        <f t="shared" si="48"/>
        <v>1079575403.079</v>
      </c>
      <c r="BV177" s="20">
        <f t="shared" si="48"/>
        <v>1079575403.079</v>
      </c>
      <c r="BW177" s="20">
        <f t="shared" si="48"/>
        <v>1079575403.079</v>
      </c>
      <c r="BX177" s="20">
        <f t="shared" si="48"/>
        <v>1078575403.079</v>
      </c>
      <c r="BY177" s="20">
        <f t="shared" si="48"/>
        <v>1080575403.079</v>
      </c>
      <c r="BZ177" s="20">
        <f t="shared" si="48"/>
        <v>1079575403.079</v>
      </c>
      <c r="CA177" s="20">
        <f t="shared" si="48"/>
        <v>1079575403.079</v>
      </c>
      <c r="CB177" s="20">
        <f t="shared" si="48"/>
        <v>1079575403.079</v>
      </c>
      <c r="CC177" s="20">
        <f t="shared" si="48"/>
        <v>1079575403.079</v>
      </c>
      <c r="CD177" s="20">
        <f t="shared" si="48"/>
        <v>1077575403.079</v>
      </c>
      <c r="CE177" s="20">
        <f t="shared" si="48"/>
        <v>1081575403.079</v>
      </c>
      <c r="CF177" s="20">
        <f t="shared" si="48"/>
        <v>1079575403.079</v>
      </c>
      <c r="CG177" s="20">
        <f t="shared" si="48"/>
        <v>1079575403.079</v>
      </c>
      <c r="CH177" s="20">
        <f t="shared" si="48"/>
        <v>1079575403.079</v>
      </c>
      <c r="CI177" s="20">
        <f t="shared" si="48"/>
        <v>1079575403.079</v>
      </c>
      <c r="CJ177" s="36">
        <f t="shared" si="48"/>
        <v>1078575403.079</v>
      </c>
      <c r="CK177" s="20">
        <f t="shared" si="48"/>
        <v>1080575403.079</v>
      </c>
      <c r="CL177" s="36">
        <f t="shared" si="48"/>
        <v>1079575403.079</v>
      </c>
      <c r="CM177" s="20">
        <f t="shared" si="48"/>
        <v>1079575403.079</v>
      </c>
      <c r="CN177" s="20">
        <f t="shared" si="48"/>
        <v>1077575403.079</v>
      </c>
      <c r="CO177" s="20">
        <f t="shared" si="48"/>
        <v>1081575403.079</v>
      </c>
      <c r="CP177" s="20">
        <f t="shared" si="48"/>
        <v>1079575403.079</v>
      </c>
      <c r="CQ177" s="20">
        <f t="shared" si="48"/>
        <v>1079575403.079</v>
      </c>
      <c r="CR177" s="20">
        <f t="shared" si="48"/>
        <v>1076575403.079</v>
      </c>
      <c r="CS177" s="20">
        <f t="shared" si="48"/>
        <v>1082575403.079</v>
      </c>
    </row>
    <row r="178" spans="1:97" s="20" customFormat="1" x14ac:dyDescent="0.25">
      <c r="A178" s="21" t="s">
        <v>177</v>
      </c>
      <c r="C178" s="24">
        <f>SUM(C78:C85)-C82</f>
        <v>3807411.0099999905</v>
      </c>
      <c r="D178" s="20">
        <f t="shared" ref="D178:BO178" si="49">SUM(D78:D85)-D82</f>
        <v>3807411.0099999905</v>
      </c>
      <c r="E178" s="20">
        <f>SUM(E78:E85)-E82</f>
        <v>3807411.0099999905</v>
      </c>
      <c r="F178" s="20">
        <f t="shared" si="49"/>
        <v>3807411.0099999905</v>
      </c>
      <c r="G178" s="20">
        <f t="shared" si="49"/>
        <v>3807411.0099999905</v>
      </c>
      <c r="H178" s="20">
        <f t="shared" si="49"/>
        <v>3807411.0099999905</v>
      </c>
      <c r="I178" s="20">
        <f t="shared" si="49"/>
        <v>3807411.0099999905</v>
      </c>
      <c r="J178" s="20">
        <f t="shared" si="49"/>
        <v>3807411.0099999905</v>
      </c>
      <c r="K178" s="26">
        <f t="shared" si="49"/>
        <v>3807411.0099999905</v>
      </c>
      <c r="L178" s="24">
        <f t="shared" si="49"/>
        <v>3807411.0099999905</v>
      </c>
      <c r="M178" s="20">
        <f t="shared" si="49"/>
        <v>3807411.0099999905</v>
      </c>
      <c r="N178" s="20">
        <f t="shared" si="49"/>
        <v>3807411.0099999905</v>
      </c>
      <c r="O178" s="24">
        <f t="shared" si="49"/>
        <v>3807411.0099999905</v>
      </c>
      <c r="P178" s="20">
        <f t="shared" si="49"/>
        <v>3807411.0099999905</v>
      </c>
      <c r="Q178" s="20">
        <f t="shared" si="49"/>
        <v>971501.71329313004</v>
      </c>
      <c r="R178" s="26">
        <f t="shared" si="49"/>
        <v>971501.71329313004</v>
      </c>
      <c r="S178" s="26">
        <f t="shared" si="49"/>
        <v>971501.71329313004</v>
      </c>
      <c r="T178" s="24">
        <f t="shared" si="49"/>
        <v>971501.71329313004</v>
      </c>
      <c r="U178" s="40">
        <f t="shared" si="49"/>
        <v>971501.71329313004</v>
      </c>
      <c r="V178" s="40">
        <f t="shared" si="49"/>
        <v>971501.71329313004</v>
      </c>
      <c r="W178" s="40">
        <f t="shared" si="49"/>
        <v>971501.71329313004</v>
      </c>
      <c r="X178" s="40">
        <f t="shared" si="49"/>
        <v>971501.71329313004</v>
      </c>
      <c r="Y178" s="24">
        <f t="shared" si="49"/>
        <v>971501.71329313004</v>
      </c>
      <c r="Z178" s="40">
        <f t="shared" si="49"/>
        <v>971501.71329313004</v>
      </c>
      <c r="AA178" s="40">
        <f t="shared" si="49"/>
        <v>971501.71329313004</v>
      </c>
      <c r="AB178" s="40">
        <f t="shared" si="49"/>
        <v>971501.71329313004</v>
      </c>
      <c r="AC178" s="40">
        <f t="shared" si="49"/>
        <v>971501.71329313004</v>
      </c>
      <c r="AD178" s="44">
        <f t="shared" si="49"/>
        <v>971501.71329313004</v>
      </c>
      <c r="AE178" s="20">
        <f t="shared" si="49"/>
        <v>971501.71329313004</v>
      </c>
      <c r="AF178" s="20">
        <f t="shared" si="49"/>
        <v>88904868.673141181</v>
      </c>
      <c r="AG178" s="20">
        <f t="shared" si="49"/>
        <v>88904868.673141181</v>
      </c>
      <c r="AH178" s="20">
        <f t="shared" si="49"/>
        <v>88904868.673141181</v>
      </c>
      <c r="AI178" s="20">
        <f t="shared" si="49"/>
        <v>88904868.673141181</v>
      </c>
      <c r="AJ178" s="24">
        <f t="shared" si="49"/>
        <v>88904868.673141181</v>
      </c>
      <c r="AK178" s="40">
        <f t="shared" si="49"/>
        <v>88904868.673141181</v>
      </c>
      <c r="AL178" s="40">
        <f t="shared" si="49"/>
        <v>88904868.673141181</v>
      </c>
      <c r="AM178" s="40">
        <f t="shared" si="49"/>
        <v>88904868.673141181</v>
      </c>
      <c r="AN178" s="40">
        <f t="shared" si="49"/>
        <v>88904868.673141181</v>
      </c>
      <c r="AO178" s="20">
        <f t="shared" si="49"/>
        <v>88904868.673141181</v>
      </c>
      <c r="AP178" s="24">
        <f t="shared" si="49"/>
        <v>88904868.673141181</v>
      </c>
      <c r="AQ178" s="20">
        <f t="shared" si="49"/>
        <v>88904868.673141181</v>
      </c>
      <c r="AR178" s="20">
        <f t="shared" si="49"/>
        <v>88904868.673141181</v>
      </c>
      <c r="AS178" s="20">
        <f t="shared" si="49"/>
        <v>88904868.673141181</v>
      </c>
      <c r="AT178" s="20">
        <f t="shared" si="49"/>
        <v>88904868.673141181</v>
      </c>
      <c r="AU178" s="20">
        <f t="shared" si="49"/>
        <v>88904868.673141181</v>
      </c>
      <c r="AV178" s="24">
        <f t="shared" si="49"/>
        <v>88904868.673141181</v>
      </c>
      <c r="AW178" s="20">
        <f t="shared" si="49"/>
        <v>88904868.673141181</v>
      </c>
      <c r="AX178" s="20">
        <f t="shared" si="49"/>
        <v>88904868.673141181</v>
      </c>
      <c r="AY178" s="20">
        <f t="shared" si="49"/>
        <v>88904868.673141181</v>
      </c>
      <c r="AZ178" s="20">
        <f t="shared" si="49"/>
        <v>88904868.673141181</v>
      </c>
      <c r="BA178" s="20">
        <f t="shared" si="49"/>
        <v>88904868.673141181</v>
      </c>
      <c r="BB178" s="24">
        <f t="shared" si="49"/>
        <v>88904868.673141181</v>
      </c>
      <c r="BC178" s="20">
        <f t="shared" si="49"/>
        <v>88904868.673141181</v>
      </c>
      <c r="BD178" s="20">
        <f t="shared" si="49"/>
        <v>88904868.673141181</v>
      </c>
      <c r="BE178" s="20">
        <f t="shared" si="49"/>
        <v>88904868.673141181</v>
      </c>
      <c r="BF178" s="44">
        <f t="shared" si="49"/>
        <v>88904868.673141181</v>
      </c>
      <c r="BG178" s="20">
        <f t="shared" si="49"/>
        <v>14951168.834508497</v>
      </c>
      <c r="BH178" s="26">
        <f t="shared" si="49"/>
        <v>14951168.834508497</v>
      </c>
      <c r="BI178" s="24">
        <f t="shared" si="49"/>
        <v>14951168.834508497</v>
      </c>
      <c r="BJ178" s="36">
        <f t="shared" si="49"/>
        <v>14951168.834508497</v>
      </c>
      <c r="BK178" s="20">
        <f t="shared" si="49"/>
        <v>14951168.834508497</v>
      </c>
      <c r="BL178" s="36">
        <f t="shared" si="49"/>
        <v>14951168.834508497</v>
      </c>
      <c r="BM178" s="20">
        <f t="shared" si="49"/>
        <v>14951168.834508497</v>
      </c>
      <c r="BN178" s="20">
        <f t="shared" si="49"/>
        <v>14951168.834508497</v>
      </c>
      <c r="BO178" s="20">
        <f t="shared" si="49"/>
        <v>14951168.834508497</v>
      </c>
      <c r="BP178" s="20">
        <f t="shared" ref="BP178:CS178" si="50">SUM(BP78:BP85)-BP82</f>
        <v>14951168.834508497</v>
      </c>
      <c r="BQ178" s="36">
        <f t="shared" si="50"/>
        <v>14951168.834508497</v>
      </c>
      <c r="BR178" s="20">
        <f t="shared" si="50"/>
        <v>14951168.834508497</v>
      </c>
      <c r="BS178" s="36">
        <f t="shared" si="50"/>
        <v>14951168.834508497</v>
      </c>
      <c r="BT178" s="20">
        <f t="shared" si="50"/>
        <v>14951168.834508497</v>
      </c>
      <c r="BU178" s="20">
        <f t="shared" si="50"/>
        <v>14951168.834508497</v>
      </c>
      <c r="BV178" s="20">
        <f t="shared" si="50"/>
        <v>14951168.834508497</v>
      </c>
      <c r="BW178" s="20">
        <f t="shared" si="50"/>
        <v>14951168.834508497</v>
      </c>
      <c r="BX178" s="20">
        <f t="shared" si="50"/>
        <v>14951168.834508497</v>
      </c>
      <c r="BY178" s="20">
        <f t="shared" si="50"/>
        <v>14951168.834508497</v>
      </c>
      <c r="BZ178" s="20">
        <f t="shared" si="50"/>
        <v>14951168.834508497</v>
      </c>
      <c r="CA178" s="20">
        <f t="shared" si="50"/>
        <v>14951168.834508497</v>
      </c>
      <c r="CB178" s="20">
        <f t="shared" si="50"/>
        <v>14951168.834508497</v>
      </c>
      <c r="CC178" s="20">
        <f t="shared" si="50"/>
        <v>14951168.834508497</v>
      </c>
      <c r="CD178" s="20">
        <f t="shared" si="50"/>
        <v>14951168.834508497</v>
      </c>
      <c r="CE178" s="20">
        <f t="shared" si="50"/>
        <v>14951168.834508497</v>
      </c>
      <c r="CF178" s="20">
        <f t="shared" si="50"/>
        <v>14951168.834508497</v>
      </c>
      <c r="CG178" s="20">
        <f t="shared" si="50"/>
        <v>14951168.834508497</v>
      </c>
      <c r="CH178" s="20">
        <f t="shared" si="50"/>
        <v>14951168.834508497</v>
      </c>
      <c r="CI178" s="20">
        <f t="shared" si="50"/>
        <v>14951168.834508497</v>
      </c>
      <c r="CJ178" s="36">
        <f t="shared" si="50"/>
        <v>14951168.834508497</v>
      </c>
      <c r="CK178" s="20">
        <f t="shared" si="50"/>
        <v>14951168.834508497</v>
      </c>
      <c r="CL178" s="36">
        <f t="shared" si="50"/>
        <v>14951168.834508497</v>
      </c>
      <c r="CM178" s="20">
        <f t="shared" si="50"/>
        <v>14951168.834508497</v>
      </c>
      <c r="CN178" s="20">
        <f t="shared" si="50"/>
        <v>14951168.834508497</v>
      </c>
      <c r="CO178" s="20">
        <f t="shared" si="50"/>
        <v>14951168.834508497</v>
      </c>
      <c r="CP178" s="20">
        <f t="shared" si="50"/>
        <v>14951168.834508497</v>
      </c>
      <c r="CQ178" s="20">
        <f t="shared" si="50"/>
        <v>14951168.834508497</v>
      </c>
      <c r="CR178" s="20">
        <f t="shared" si="50"/>
        <v>14951168.834508497</v>
      </c>
      <c r="CS178" s="20">
        <f t="shared" si="50"/>
        <v>14951168.834508497</v>
      </c>
    </row>
    <row r="179" spans="1:97" s="20" customFormat="1" x14ac:dyDescent="0.25">
      <c r="A179" s="21" t="s">
        <v>178</v>
      </c>
      <c r="C179" s="24">
        <f>C178+SUM(C86:C93)-C90</f>
        <v>181257010.46666667</v>
      </c>
      <c r="D179" s="20">
        <f t="shared" ref="D179:BO179" si="51">D178+SUM(D86:D93)-D90</f>
        <v>181257010.46666667</v>
      </c>
      <c r="E179" s="20">
        <f>E178+SUM(E86:E93)-E90</f>
        <v>181257010.46666667</v>
      </c>
      <c r="F179" s="20">
        <f t="shared" si="51"/>
        <v>181257010.46666667</v>
      </c>
      <c r="G179" s="20">
        <f t="shared" si="51"/>
        <v>181257010.46666667</v>
      </c>
      <c r="H179" s="20">
        <f t="shared" si="51"/>
        <v>181257010.46666667</v>
      </c>
      <c r="I179" s="20">
        <f t="shared" si="51"/>
        <v>181257010.46666667</v>
      </c>
      <c r="J179" s="20">
        <f t="shared" si="51"/>
        <v>181257010.46666667</v>
      </c>
      <c r="K179" s="26">
        <f t="shared" si="51"/>
        <v>181257010.46666667</v>
      </c>
      <c r="L179" s="24">
        <f t="shared" si="51"/>
        <v>181257010.46666667</v>
      </c>
      <c r="M179" s="20">
        <f t="shared" si="51"/>
        <v>181257010.46666667</v>
      </c>
      <c r="N179" s="20">
        <f t="shared" si="51"/>
        <v>181257010.46666667</v>
      </c>
      <c r="O179" s="24">
        <f t="shared" si="51"/>
        <v>181257010.46666667</v>
      </c>
      <c r="P179" s="20">
        <f t="shared" si="51"/>
        <v>181257010.46666667</v>
      </c>
      <c r="Q179" s="20">
        <f t="shared" si="51"/>
        <v>4464473.9982931297</v>
      </c>
      <c r="R179" s="26">
        <f t="shared" si="51"/>
        <v>4464473.9982931297</v>
      </c>
      <c r="S179" s="26">
        <f t="shared" si="51"/>
        <v>4464473.9982931297</v>
      </c>
      <c r="T179" s="24">
        <f t="shared" si="51"/>
        <v>4464473.9982931297</v>
      </c>
      <c r="U179" s="40">
        <f t="shared" si="51"/>
        <v>4464473.9982931297</v>
      </c>
      <c r="V179" s="40">
        <f t="shared" si="51"/>
        <v>4464473.9982931297</v>
      </c>
      <c r="W179" s="40">
        <f t="shared" si="51"/>
        <v>4464473.9982931297</v>
      </c>
      <c r="X179" s="40">
        <f t="shared" si="51"/>
        <v>4464473.9982931297</v>
      </c>
      <c r="Y179" s="24">
        <f t="shared" si="51"/>
        <v>4464473.9982931297</v>
      </c>
      <c r="Z179" s="40">
        <f t="shared" si="51"/>
        <v>4464473.9982931297</v>
      </c>
      <c r="AA179" s="40">
        <f t="shared" si="51"/>
        <v>4464473.9982931297</v>
      </c>
      <c r="AB179" s="40">
        <f t="shared" si="51"/>
        <v>4464473.9982931297</v>
      </c>
      <c r="AC179" s="40">
        <f t="shared" si="51"/>
        <v>4464473.9982931297</v>
      </c>
      <c r="AD179" s="44">
        <f t="shared" si="51"/>
        <v>4464473.9982931297</v>
      </c>
      <c r="AE179" s="20">
        <f t="shared" si="51"/>
        <v>4464473.9982931297</v>
      </c>
      <c r="AF179" s="20">
        <f t="shared" si="51"/>
        <v>130342394.90727268</v>
      </c>
      <c r="AG179" s="20">
        <f t="shared" si="51"/>
        <v>130342394.90727268</v>
      </c>
      <c r="AH179" s="20">
        <f t="shared" si="51"/>
        <v>130342394.90727268</v>
      </c>
      <c r="AI179" s="20">
        <f t="shared" si="51"/>
        <v>130342394.90727268</v>
      </c>
      <c r="AJ179" s="24">
        <f t="shared" si="51"/>
        <v>130342394.90727268</v>
      </c>
      <c r="AK179" s="40">
        <f t="shared" si="51"/>
        <v>130342394.90727268</v>
      </c>
      <c r="AL179" s="40">
        <f t="shared" si="51"/>
        <v>130342394.90727268</v>
      </c>
      <c r="AM179" s="40">
        <f t="shared" si="51"/>
        <v>130342394.90727268</v>
      </c>
      <c r="AN179" s="40">
        <f t="shared" si="51"/>
        <v>130342394.90727268</v>
      </c>
      <c r="AO179" s="20">
        <f t="shared" si="51"/>
        <v>130342394.90727268</v>
      </c>
      <c r="AP179" s="24">
        <f t="shared" si="51"/>
        <v>130342394.90727268</v>
      </c>
      <c r="AQ179" s="20">
        <f t="shared" si="51"/>
        <v>130342394.90727268</v>
      </c>
      <c r="AR179" s="20">
        <f t="shared" si="51"/>
        <v>130342394.90727268</v>
      </c>
      <c r="AS179" s="20">
        <f t="shared" si="51"/>
        <v>130342394.90727268</v>
      </c>
      <c r="AT179" s="20">
        <f t="shared" si="51"/>
        <v>130342394.90727268</v>
      </c>
      <c r="AU179" s="20">
        <f t="shared" si="51"/>
        <v>130342394.90727268</v>
      </c>
      <c r="AV179" s="24">
        <f t="shared" si="51"/>
        <v>130342394.90727268</v>
      </c>
      <c r="AW179" s="20">
        <f t="shared" si="51"/>
        <v>130342394.90727268</v>
      </c>
      <c r="AX179" s="20">
        <f t="shared" si="51"/>
        <v>130342394.90727268</v>
      </c>
      <c r="AY179" s="20">
        <f t="shared" si="51"/>
        <v>130342394.90727268</v>
      </c>
      <c r="AZ179" s="20">
        <f t="shared" si="51"/>
        <v>130342394.90727268</v>
      </c>
      <c r="BA179" s="20">
        <f t="shared" si="51"/>
        <v>130342394.90727268</v>
      </c>
      <c r="BB179" s="24">
        <f t="shared" si="51"/>
        <v>130342394.90727268</v>
      </c>
      <c r="BC179" s="20">
        <f t="shared" si="51"/>
        <v>130342394.90727268</v>
      </c>
      <c r="BD179" s="20">
        <f t="shared" si="51"/>
        <v>130342394.90727268</v>
      </c>
      <c r="BE179" s="20">
        <f t="shared" si="51"/>
        <v>130342394.90727268</v>
      </c>
      <c r="BF179" s="44">
        <f t="shared" si="51"/>
        <v>130342394.90727268</v>
      </c>
      <c r="BG179" s="20">
        <f t="shared" si="51"/>
        <v>47183611.410180695</v>
      </c>
      <c r="BH179" s="26">
        <f t="shared" si="51"/>
        <v>47183611.410180695</v>
      </c>
      <c r="BI179" s="24">
        <f t="shared" si="51"/>
        <v>47183611.410180695</v>
      </c>
      <c r="BJ179" s="36">
        <f t="shared" si="51"/>
        <v>47183611.410180695</v>
      </c>
      <c r="BK179" s="20">
        <f t="shared" si="51"/>
        <v>47183611.410180695</v>
      </c>
      <c r="BL179" s="36">
        <f t="shared" si="51"/>
        <v>47183611.410180695</v>
      </c>
      <c r="BM179" s="20">
        <f t="shared" si="51"/>
        <v>47183611.410180695</v>
      </c>
      <c r="BN179" s="20">
        <f t="shared" si="51"/>
        <v>47183611.410180695</v>
      </c>
      <c r="BO179" s="20">
        <f t="shared" si="51"/>
        <v>47183611.410180695</v>
      </c>
      <c r="BP179" s="20">
        <f t="shared" ref="BP179:CS179" si="52">BP178+SUM(BP86:BP93)-BP90</f>
        <v>47183611.410180695</v>
      </c>
      <c r="BQ179" s="36">
        <f t="shared" si="52"/>
        <v>47183611.410180695</v>
      </c>
      <c r="BR179" s="20">
        <f t="shared" si="52"/>
        <v>47183611.410180695</v>
      </c>
      <c r="BS179" s="36">
        <f t="shared" si="52"/>
        <v>47183611.410180695</v>
      </c>
      <c r="BT179" s="20">
        <f t="shared" si="52"/>
        <v>47183611.410180695</v>
      </c>
      <c r="BU179" s="20">
        <f t="shared" si="52"/>
        <v>47183611.410180695</v>
      </c>
      <c r="BV179" s="20">
        <f t="shared" si="52"/>
        <v>47183611.410180695</v>
      </c>
      <c r="BW179" s="20">
        <f t="shared" si="52"/>
        <v>47183611.410180695</v>
      </c>
      <c r="BX179" s="20">
        <f t="shared" si="52"/>
        <v>47183611.410180695</v>
      </c>
      <c r="BY179" s="20">
        <f t="shared" si="52"/>
        <v>47183611.410180695</v>
      </c>
      <c r="BZ179" s="20">
        <f t="shared" si="52"/>
        <v>47183611.410180695</v>
      </c>
      <c r="CA179" s="20">
        <f t="shared" si="52"/>
        <v>47183611.410180695</v>
      </c>
      <c r="CB179" s="20">
        <f t="shared" si="52"/>
        <v>47183611.410180695</v>
      </c>
      <c r="CC179" s="20">
        <f t="shared" si="52"/>
        <v>47183611.410180695</v>
      </c>
      <c r="CD179" s="20">
        <f t="shared" si="52"/>
        <v>47183611.410180695</v>
      </c>
      <c r="CE179" s="20">
        <f t="shared" si="52"/>
        <v>47183611.410180695</v>
      </c>
      <c r="CF179" s="20">
        <f t="shared" si="52"/>
        <v>47183611.410180695</v>
      </c>
      <c r="CG179" s="20">
        <f t="shared" si="52"/>
        <v>47183611.410180695</v>
      </c>
      <c r="CH179" s="20">
        <f t="shared" si="52"/>
        <v>47183611.410180695</v>
      </c>
      <c r="CI179" s="20">
        <f t="shared" si="52"/>
        <v>47183611.410180695</v>
      </c>
      <c r="CJ179" s="36">
        <f t="shared" si="52"/>
        <v>47183611.410180695</v>
      </c>
      <c r="CK179" s="20">
        <f t="shared" si="52"/>
        <v>47183611.410180695</v>
      </c>
      <c r="CL179" s="36">
        <f t="shared" si="52"/>
        <v>47183611.410180695</v>
      </c>
      <c r="CM179" s="20">
        <f t="shared" si="52"/>
        <v>47183611.410180695</v>
      </c>
      <c r="CN179" s="20">
        <f t="shared" si="52"/>
        <v>47183611.410180695</v>
      </c>
      <c r="CO179" s="20">
        <f t="shared" si="52"/>
        <v>47183611.410180695</v>
      </c>
      <c r="CP179" s="20">
        <f t="shared" si="52"/>
        <v>47183611.410180695</v>
      </c>
      <c r="CQ179" s="20">
        <f t="shared" si="52"/>
        <v>47183611.410180695</v>
      </c>
      <c r="CR179" s="20">
        <f t="shared" si="52"/>
        <v>47183611.410180695</v>
      </c>
      <c r="CS179" s="20">
        <f t="shared" si="52"/>
        <v>47183611.410180695</v>
      </c>
    </row>
    <row r="180" spans="1:97" s="20" customFormat="1" x14ac:dyDescent="0.25">
      <c r="A180" s="21" t="s">
        <v>179</v>
      </c>
      <c r="C180" s="24">
        <f>C179+SUM(C94:C101)-C98</f>
        <v>200385191.33089659</v>
      </c>
      <c r="D180" s="20">
        <f t="shared" ref="D180:BO180" si="53">D179+SUM(D94:D101)-D98</f>
        <v>200385191.33089659</v>
      </c>
      <c r="E180" s="20">
        <f t="shared" si="53"/>
        <v>200385191.33089659</v>
      </c>
      <c r="F180" s="20">
        <f t="shared" si="53"/>
        <v>200385191.33089659</v>
      </c>
      <c r="G180" s="20">
        <f t="shared" si="53"/>
        <v>200385191.33089659</v>
      </c>
      <c r="H180" s="20">
        <f t="shared" si="53"/>
        <v>200385191.33089659</v>
      </c>
      <c r="I180" s="20">
        <f t="shared" si="53"/>
        <v>200385191.33089659</v>
      </c>
      <c r="J180" s="20">
        <f t="shared" si="53"/>
        <v>200385191.33089659</v>
      </c>
      <c r="K180" s="26">
        <f t="shared" si="53"/>
        <v>200385191.33089659</v>
      </c>
      <c r="L180" s="24">
        <f t="shared" si="53"/>
        <v>200385191.33089659</v>
      </c>
      <c r="M180" s="20">
        <f t="shared" si="53"/>
        <v>200385191.33089659</v>
      </c>
      <c r="N180" s="20">
        <f t="shared" si="53"/>
        <v>200385191.33089659</v>
      </c>
      <c r="O180" s="24">
        <f t="shared" si="53"/>
        <v>200385191.33089659</v>
      </c>
      <c r="P180" s="20">
        <f t="shared" si="53"/>
        <v>200385191.33089659</v>
      </c>
      <c r="Q180" s="20">
        <f t="shared" si="53"/>
        <v>213474153.59348461</v>
      </c>
      <c r="R180" s="26">
        <f t="shared" si="53"/>
        <v>213474153.59348461</v>
      </c>
      <c r="S180" s="26">
        <f t="shared" si="53"/>
        <v>213474153.59348461</v>
      </c>
      <c r="T180" s="24">
        <f t="shared" si="53"/>
        <v>213474153.59348461</v>
      </c>
      <c r="U180" s="40">
        <f t="shared" si="53"/>
        <v>213474153.59348461</v>
      </c>
      <c r="V180" s="40">
        <f t="shared" si="53"/>
        <v>213474153.59348461</v>
      </c>
      <c r="W180" s="40">
        <f t="shared" si="53"/>
        <v>213474153.59348461</v>
      </c>
      <c r="X180" s="40">
        <f t="shared" si="53"/>
        <v>213474153.59348461</v>
      </c>
      <c r="Y180" s="24">
        <f t="shared" si="53"/>
        <v>213474153.59348461</v>
      </c>
      <c r="Z180" s="40">
        <f t="shared" si="53"/>
        <v>213474153.59348461</v>
      </c>
      <c r="AA180" s="40">
        <f t="shared" si="53"/>
        <v>213474153.59348461</v>
      </c>
      <c r="AB180" s="40">
        <f t="shared" si="53"/>
        <v>213474153.59348461</v>
      </c>
      <c r="AC180" s="40">
        <f t="shared" si="53"/>
        <v>213474153.59348461</v>
      </c>
      <c r="AD180" s="44">
        <f t="shared" si="53"/>
        <v>213474153.59348461</v>
      </c>
      <c r="AE180" s="20">
        <f t="shared" si="53"/>
        <v>213474153.59348461</v>
      </c>
      <c r="AF180" s="20">
        <f t="shared" si="53"/>
        <v>158913464.20310602</v>
      </c>
      <c r="AG180" s="20">
        <f t="shared" si="53"/>
        <v>158913464.20310602</v>
      </c>
      <c r="AH180" s="20">
        <f t="shared" si="53"/>
        <v>158913464.20310602</v>
      </c>
      <c r="AI180" s="20">
        <f t="shared" si="53"/>
        <v>158913464.20310602</v>
      </c>
      <c r="AJ180" s="24">
        <f t="shared" si="53"/>
        <v>158913464.20310602</v>
      </c>
      <c r="AK180" s="40">
        <f t="shared" si="53"/>
        <v>158913464.20310602</v>
      </c>
      <c r="AL180" s="40">
        <f t="shared" si="53"/>
        <v>158913464.20310602</v>
      </c>
      <c r="AM180" s="40">
        <f t="shared" si="53"/>
        <v>158913464.20310602</v>
      </c>
      <c r="AN180" s="40">
        <f t="shared" si="53"/>
        <v>158913464.20310602</v>
      </c>
      <c r="AO180" s="20">
        <f t="shared" si="53"/>
        <v>158913464.20310602</v>
      </c>
      <c r="AP180" s="24">
        <f t="shared" si="53"/>
        <v>158913464.20310602</v>
      </c>
      <c r="AQ180" s="20">
        <f t="shared" si="53"/>
        <v>158913464.20310602</v>
      </c>
      <c r="AR180" s="20">
        <f t="shared" si="53"/>
        <v>158913464.20310602</v>
      </c>
      <c r="AS180" s="20">
        <f t="shared" si="53"/>
        <v>158913464.20310602</v>
      </c>
      <c r="AT180" s="20">
        <f t="shared" si="53"/>
        <v>158913464.20310602</v>
      </c>
      <c r="AU180" s="20">
        <f t="shared" si="53"/>
        <v>158913464.20310602</v>
      </c>
      <c r="AV180" s="24">
        <f t="shared" si="53"/>
        <v>158913464.20310602</v>
      </c>
      <c r="AW180" s="20">
        <f t="shared" si="53"/>
        <v>158913464.20310602</v>
      </c>
      <c r="AX180" s="20">
        <f t="shared" si="53"/>
        <v>158913464.20310602</v>
      </c>
      <c r="AY180" s="20">
        <f t="shared" si="53"/>
        <v>158913464.20310602</v>
      </c>
      <c r="AZ180" s="20">
        <f t="shared" si="53"/>
        <v>158913464.20310602</v>
      </c>
      <c r="BA180" s="20">
        <f t="shared" si="53"/>
        <v>158913464.20310602</v>
      </c>
      <c r="BB180" s="24">
        <f t="shared" si="53"/>
        <v>158913464.20310602</v>
      </c>
      <c r="BC180" s="20">
        <f t="shared" si="53"/>
        <v>158913464.20310602</v>
      </c>
      <c r="BD180" s="20">
        <f t="shared" si="53"/>
        <v>158913464.20310602</v>
      </c>
      <c r="BE180" s="20">
        <f t="shared" si="53"/>
        <v>158913464.20310602</v>
      </c>
      <c r="BF180" s="44">
        <f t="shared" si="53"/>
        <v>158913464.20310602</v>
      </c>
      <c r="BG180" s="20">
        <f t="shared" si="53"/>
        <v>80760083.834813699</v>
      </c>
      <c r="BH180" s="26">
        <f t="shared" si="53"/>
        <v>80760083.834813699</v>
      </c>
      <c r="BI180" s="24">
        <f t="shared" si="53"/>
        <v>80760083.834813699</v>
      </c>
      <c r="BJ180" s="36">
        <f t="shared" si="53"/>
        <v>80760083.834813699</v>
      </c>
      <c r="BK180" s="20">
        <f t="shared" si="53"/>
        <v>80760083.834813699</v>
      </c>
      <c r="BL180" s="36">
        <f t="shared" si="53"/>
        <v>80760083.834813699</v>
      </c>
      <c r="BM180" s="20">
        <f t="shared" si="53"/>
        <v>80760083.834813699</v>
      </c>
      <c r="BN180" s="20">
        <f t="shared" si="53"/>
        <v>80760083.834813699</v>
      </c>
      <c r="BO180" s="20">
        <f t="shared" si="53"/>
        <v>80760083.834813699</v>
      </c>
      <c r="BP180" s="20">
        <f t="shared" ref="BP180:CS180" si="54">BP179+SUM(BP94:BP101)-BP98</f>
        <v>80760083.834813699</v>
      </c>
      <c r="BQ180" s="36">
        <f t="shared" si="54"/>
        <v>80760083.834813699</v>
      </c>
      <c r="BR180" s="20">
        <f t="shared" si="54"/>
        <v>80760083.834813699</v>
      </c>
      <c r="BS180" s="36">
        <f t="shared" si="54"/>
        <v>80760083.834813699</v>
      </c>
      <c r="BT180" s="20">
        <f t="shared" si="54"/>
        <v>80760083.834813699</v>
      </c>
      <c r="BU180" s="20">
        <f t="shared" si="54"/>
        <v>80760083.834813699</v>
      </c>
      <c r="BV180" s="20">
        <f t="shared" si="54"/>
        <v>80760083.834813699</v>
      </c>
      <c r="BW180" s="20">
        <f t="shared" si="54"/>
        <v>80760083.834813699</v>
      </c>
      <c r="BX180" s="20">
        <f t="shared" si="54"/>
        <v>80760083.834813699</v>
      </c>
      <c r="BY180" s="20">
        <f t="shared" si="54"/>
        <v>80760083.834813699</v>
      </c>
      <c r="BZ180" s="20">
        <f t="shared" si="54"/>
        <v>80760083.834813699</v>
      </c>
      <c r="CA180" s="20">
        <f t="shared" si="54"/>
        <v>80760083.834813699</v>
      </c>
      <c r="CB180" s="20">
        <f t="shared" si="54"/>
        <v>80760083.834813699</v>
      </c>
      <c r="CC180" s="20">
        <f t="shared" si="54"/>
        <v>80760083.834813699</v>
      </c>
      <c r="CD180" s="20">
        <f t="shared" si="54"/>
        <v>80760083.834813699</v>
      </c>
      <c r="CE180" s="20">
        <f t="shared" si="54"/>
        <v>80760083.834813699</v>
      </c>
      <c r="CF180" s="20">
        <f t="shared" si="54"/>
        <v>80760083.834813699</v>
      </c>
      <c r="CG180" s="20">
        <f t="shared" si="54"/>
        <v>80760083.834813699</v>
      </c>
      <c r="CH180" s="20">
        <f t="shared" si="54"/>
        <v>80760083.834813699</v>
      </c>
      <c r="CI180" s="20">
        <f t="shared" si="54"/>
        <v>80760083.834813699</v>
      </c>
      <c r="CJ180" s="36">
        <f t="shared" si="54"/>
        <v>80760083.834813699</v>
      </c>
      <c r="CK180" s="20">
        <f t="shared" si="54"/>
        <v>80760083.834813699</v>
      </c>
      <c r="CL180" s="36">
        <f t="shared" si="54"/>
        <v>80760083.834813699</v>
      </c>
      <c r="CM180" s="20">
        <f t="shared" si="54"/>
        <v>80760083.834813699</v>
      </c>
      <c r="CN180" s="20">
        <f t="shared" si="54"/>
        <v>80760083.834813699</v>
      </c>
      <c r="CO180" s="20">
        <f t="shared" si="54"/>
        <v>80760083.834813699</v>
      </c>
      <c r="CP180" s="20">
        <f t="shared" si="54"/>
        <v>80760083.834813699</v>
      </c>
      <c r="CQ180" s="20">
        <f t="shared" si="54"/>
        <v>80760083.834813699</v>
      </c>
      <c r="CR180" s="20">
        <f t="shared" si="54"/>
        <v>80760083.834813699</v>
      </c>
      <c r="CS180" s="20">
        <f t="shared" si="54"/>
        <v>80760083.834813699</v>
      </c>
    </row>
    <row r="181" spans="1:97" s="20" customFormat="1" x14ac:dyDescent="0.25">
      <c r="A181" s="21" t="s">
        <v>180</v>
      </c>
      <c r="C181" s="24">
        <f>C180+SUM(C102:C109)-C106</f>
        <v>439131769.85083413</v>
      </c>
      <c r="D181" s="20">
        <f t="shared" ref="D181:BO181" si="55">D180+SUM(D102:D109)-D106</f>
        <v>439131769.85083413</v>
      </c>
      <c r="E181" s="20">
        <f t="shared" si="55"/>
        <v>439131769.85083413</v>
      </c>
      <c r="F181" s="20">
        <f t="shared" si="55"/>
        <v>439131769.85083413</v>
      </c>
      <c r="G181" s="20">
        <f t="shared" si="55"/>
        <v>439131769.85083413</v>
      </c>
      <c r="H181" s="20">
        <f t="shared" si="55"/>
        <v>439131769.85083413</v>
      </c>
      <c r="I181" s="20">
        <f t="shared" si="55"/>
        <v>439131769.85083413</v>
      </c>
      <c r="J181" s="20">
        <f t="shared" si="55"/>
        <v>439131769.85083413</v>
      </c>
      <c r="K181" s="26">
        <f t="shared" si="55"/>
        <v>439131769.85083413</v>
      </c>
      <c r="L181" s="24">
        <f t="shared" si="55"/>
        <v>439131769.85083413</v>
      </c>
      <c r="M181" s="20">
        <f t="shared" si="55"/>
        <v>439131769.85083413</v>
      </c>
      <c r="N181" s="20">
        <f t="shared" si="55"/>
        <v>439131769.85083413</v>
      </c>
      <c r="O181" s="24">
        <f t="shared" si="55"/>
        <v>439131769.85083413</v>
      </c>
      <c r="P181" s="20">
        <f t="shared" si="55"/>
        <v>439131769.85083413</v>
      </c>
      <c r="Q181" s="20">
        <f t="shared" si="55"/>
        <v>378470090.71763045</v>
      </c>
      <c r="R181" s="26">
        <f t="shared" si="55"/>
        <v>378470090.71763045</v>
      </c>
      <c r="S181" s="26">
        <f t="shared" si="55"/>
        <v>378470090.71763045</v>
      </c>
      <c r="T181" s="24">
        <f t="shared" si="55"/>
        <v>378470090.71763045</v>
      </c>
      <c r="U181" s="40">
        <f t="shared" si="55"/>
        <v>378470090.71763045</v>
      </c>
      <c r="V181" s="40">
        <f t="shared" si="55"/>
        <v>378470090.71763045</v>
      </c>
      <c r="W181" s="40">
        <f t="shared" si="55"/>
        <v>378470090.71763045</v>
      </c>
      <c r="X181" s="40">
        <f t="shared" si="55"/>
        <v>378470090.71763045</v>
      </c>
      <c r="Y181" s="24">
        <f t="shared" si="55"/>
        <v>378470090.71763045</v>
      </c>
      <c r="Z181" s="40">
        <f t="shared" si="55"/>
        <v>378470090.71763045</v>
      </c>
      <c r="AA181" s="40">
        <f t="shared" si="55"/>
        <v>378470090.71763045</v>
      </c>
      <c r="AB181" s="40">
        <f t="shared" si="55"/>
        <v>378470090.71763045</v>
      </c>
      <c r="AC181" s="40">
        <f t="shared" si="55"/>
        <v>378470090.71763045</v>
      </c>
      <c r="AD181" s="44">
        <f t="shared" si="55"/>
        <v>378470090.71763045</v>
      </c>
      <c r="AE181" s="20">
        <f t="shared" si="55"/>
        <v>378470090.71763045</v>
      </c>
      <c r="AF181" s="20">
        <f t="shared" si="55"/>
        <v>248668031.74310601</v>
      </c>
      <c r="AG181" s="20">
        <f t="shared" si="55"/>
        <v>248668031.74310601</v>
      </c>
      <c r="AH181" s="20">
        <f t="shared" si="55"/>
        <v>248668031.74310601</v>
      </c>
      <c r="AI181" s="20">
        <f t="shared" si="55"/>
        <v>248668031.74310601</v>
      </c>
      <c r="AJ181" s="24">
        <f t="shared" si="55"/>
        <v>248668031.74310601</v>
      </c>
      <c r="AK181" s="40">
        <f t="shared" si="55"/>
        <v>248668031.74310601</v>
      </c>
      <c r="AL181" s="40">
        <f t="shared" si="55"/>
        <v>248668031.74310601</v>
      </c>
      <c r="AM181" s="40">
        <f t="shared" si="55"/>
        <v>248668031.74310601</v>
      </c>
      <c r="AN181" s="40">
        <f t="shared" si="55"/>
        <v>248668031.74310601</v>
      </c>
      <c r="AO181" s="20">
        <f t="shared" si="55"/>
        <v>248668031.74310601</v>
      </c>
      <c r="AP181" s="24">
        <f t="shared" si="55"/>
        <v>248668031.74310601</v>
      </c>
      <c r="AQ181" s="20">
        <f t="shared" si="55"/>
        <v>248668031.74310601</v>
      </c>
      <c r="AR181" s="20">
        <f t="shared" si="55"/>
        <v>248668031.74310601</v>
      </c>
      <c r="AS181" s="20">
        <f t="shared" si="55"/>
        <v>248668031.74310601</v>
      </c>
      <c r="AT181" s="20">
        <f t="shared" si="55"/>
        <v>248668031.74310601</v>
      </c>
      <c r="AU181" s="20">
        <f t="shared" si="55"/>
        <v>248668031.74310601</v>
      </c>
      <c r="AV181" s="24">
        <f t="shared" si="55"/>
        <v>248668031.74310601</v>
      </c>
      <c r="AW181" s="20">
        <f t="shared" si="55"/>
        <v>248668031.74310601</v>
      </c>
      <c r="AX181" s="20">
        <f t="shared" si="55"/>
        <v>248668031.74310601</v>
      </c>
      <c r="AY181" s="20">
        <f t="shared" si="55"/>
        <v>248668031.74310601</v>
      </c>
      <c r="AZ181" s="20">
        <f t="shared" si="55"/>
        <v>248668031.74310601</v>
      </c>
      <c r="BA181" s="20">
        <f t="shared" si="55"/>
        <v>248668031.74310601</v>
      </c>
      <c r="BB181" s="24">
        <f t="shared" si="55"/>
        <v>248668031.74310601</v>
      </c>
      <c r="BC181" s="20">
        <f t="shared" si="55"/>
        <v>248668031.74310601</v>
      </c>
      <c r="BD181" s="20">
        <f t="shared" si="55"/>
        <v>248668031.74310601</v>
      </c>
      <c r="BE181" s="20">
        <f t="shared" si="55"/>
        <v>248668031.74310601</v>
      </c>
      <c r="BF181" s="44">
        <f t="shared" si="55"/>
        <v>248668031.74310601</v>
      </c>
      <c r="BG181" s="20">
        <f t="shared" si="55"/>
        <v>440511608.09673911</v>
      </c>
      <c r="BH181" s="26">
        <f t="shared" si="55"/>
        <v>440511608.09673911</v>
      </c>
      <c r="BI181" s="24">
        <f t="shared" si="55"/>
        <v>440511608.09673911</v>
      </c>
      <c r="BJ181" s="36">
        <f t="shared" si="55"/>
        <v>440511608.09673911</v>
      </c>
      <c r="BK181" s="20">
        <f t="shared" si="55"/>
        <v>440511608.09673911</v>
      </c>
      <c r="BL181" s="36">
        <f t="shared" si="55"/>
        <v>440511608.09673911</v>
      </c>
      <c r="BM181" s="20">
        <f t="shared" si="55"/>
        <v>440511608.09673911</v>
      </c>
      <c r="BN181" s="20">
        <f t="shared" si="55"/>
        <v>440511608.09673911</v>
      </c>
      <c r="BO181" s="20">
        <f t="shared" si="55"/>
        <v>440511608.09673911</v>
      </c>
      <c r="BP181" s="20">
        <f t="shared" ref="BP181:CS181" si="56">BP180+SUM(BP102:BP109)-BP106</f>
        <v>440511608.09673911</v>
      </c>
      <c r="BQ181" s="36">
        <f t="shared" si="56"/>
        <v>440511608.09673911</v>
      </c>
      <c r="BR181" s="20">
        <f t="shared" si="56"/>
        <v>440511608.09673911</v>
      </c>
      <c r="BS181" s="36">
        <f t="shared" si="56"/>
        <v>440511608.09673911</v>
      </c>
      <c r="BT181" s="20">
        <f t="shared" si="56"/>
        <v>440511608.09673911</v>
      </c>
      <c r="BU181" s="20">
        <f t="shared" si="56"/>
        <v>440511608.09673911</v>
      </c>
      <c r="BV181" s="20">
        <f t="shared" si="56"/>
        <v>440511608.09673911</v>
      </c>
      <c r="BW181" s="20">
        <f t="shared" si="56"/>
        <v>440511608.09673911</v>
      </c>
      <c r="BX181" s="20">
        <f t="shared" si="56"/>
        <v>440511608.09673911</v>
      </c>
      <c r="BY181" s="20">
        <f t="shared" si="56"/>
        <v>440511608.09673911</v>
      </c>
      <c r="BZ181" s="20">
        <f t="shared" si="56"/>
        <v>440511608.09673911</v>
      </c>
      <c r="CA181" s="20">
        <f t="shared" si="56"/>
        <v>440511608.09673911</v>
      </c>
      <c r="CB181" s="20">
        <f t="shared" si="56"/>
        <v>440511608.09673911</v>
      </c>
      <c r="CC181" s="20">
        <f t="shared" si="56"/>
        <v>440511608.09673911</v>
      </c>
      <c r="CD181" s="20">
        <f t="shared" si="56"/>
        <v>440511608.09673911</v>
      </c>
      <c r="CE181" s="20">
        <f t="shared" si="56"/>
        <v>440511608.09673911</v>
      </c>
      <c r="CF181" s="20">
        <f t="shared" si="56"/>
        <v>440511608.09673911</v>
      </c>
      <c r="CG181" s="20">
        <f t="shared" si="56"/>
        <v>440511608.09673911</v>
      </c>
      <c r="CH181" s="20">
        <f t="shared" si="56"/>
        <v>440511608.09673911</v>
      </c>
      <c r="CI181" s="20">
        <f t="shared" si="56"/>
        <v>440511608.09673911</v>
      </c>
      <c r="CJ181" s="36">
        <f t="shared" si="56"/>
        <v>440511608.09673911</v>
      </c>
      <c r="CK181" s="20">
        <f t="shared" si="56"/>
        <v>440511608.09673911</v>
      </c>
      <c r="CL181" s="36">
        <f t="shared" si="56"/>
        <v>440511608.09673911</v>
      </c>
      <c r="CM181" s="20">
        <f t="shared" si="56"/>
        <v>440511608.09673911</v>
      </c>
      <c r="CN181" s="20">
        <f t="shared" si="56"/>
        <v>440511608.09673911</v>
      </c>
      <c r="CO181" s="20">
        <f t="shared" si="56"/>
        <v>440511608.09673911</v>
      </c>
      <c r="CP181" s="20">
        <f t="shared" si="56"/>
        <v>440511608.09673911</v>
      </c>
      <c r="CQ181" s="20">
        <f t="shared" si="56"/>
        <v>440511608.09673911</v>
      </c>
      <c r="CR181" s="20">
        <f t="shared" si="56"/>
        <v>440511608.09673911</v>
      </c>
      <c r="CS181" s="20">
        <f t="shared" si="56"/>
        <v>440511608.09673911</v>
      </c>
    </row>
    <row r="182" spans="1:97" s="20" customFormat="1" x14ac:dyDescent="0.25">
      <c r="A182" s="21" t="s">
        <v>181</v>
      </c>
      <c r="C182" s="24">
        <f>C181+SUM(C110:C117)-C114</f>
        <v>741714452.53416741</v>
      </c>
      <c r="D182" s="20">
        <f t="shared" ref="D182:BO182" si="57">D181+SUM(D110:D117)-D114</f>
        <v>741714452.53416741</v>
      </c>
      <c r="E182" s="20">
        <f t="shared" si="57"/>
        <v>741714452.53416741</v>
      </c>
      <c r="F182" s="20">
        <f t="shared" si="57"/>
        <v>741714452.53416741</v>
      </c>
      <c r="G182" s="20">
        <f t="shared" si="57"/>
        <v>741714452.53416741</v>
      </c>
      <c r="H182" s="20">
        <f t="shared" si="57"/>
        <v>741714452.53416741</v>
      </c>
      <c r="I182" s="20">
        <f t="shared" si="57"/>
        <v>741714452.53416741</v>
      </c>
      <c r="J182" s="20">
        <f t="shared" si="57"/>
        <v>741714452.53416741</v>
      </c>
      <c r="K182" s="26">
        <f t="shared" si="57"/>
        <v>741714452.53416741</v>
      </c>
      <c r="L182" s="24">
        <f t="shared" si="57"/>
        <v>741714452.53416741</v>
      </c>
      <c r="M182" s="20">
        <f t="shared" si="57"/>
        <v>741714452.53416741</v>
      </c>
      <c r="N182" s="20">
        <f t="shared" si="57"/>
        <v>741714452.53416741</v>
      </c>
      <c r="O182" s="24">
        <f t="shared" si="57"/>
        <v>741714452.53416741</v>
      </c>
      <c r="P182" s="20">
        <f t="shared" si="57"/>
        <v>741714452.53416741</v>
      </c>
      <c r="Q182" s="20">
        <f t="shared" si="57"/>
        <v>705426901.19429731</v>
      </c>
      <c r="R182" s="26">
        <f t="shared" si="57"/>
        <v>705426901.19429731</v>
      </c>
      <c r="S182" s="26">
        <f t="shared" si="57"/>
        <v>705426901.19429731</v>
      </c>
      <c r="T182" s="24">
        <f t="shared" si="57"/>
        <v>705426901.19429731</v>
      </c>
      <c r="U182" s="40">
        <f t="shared" si="57"/>
        <v>705426901.19429731</v>
      </c>
      <c r="V182" s="40">
        <f t="shared" si="57"/>
        <v>705426901.19429731</v>
      </c>
      <c r="W182" s="40">
        <f t="shared" si="57"/>
        <v>705426901.19429731</v>
      </c>
      <c r="X182" s="40">
        <f t="shared" si="57"/>
        <v>705426901.19429731</v>
      </c>
      <c r="Y182" s="24">
        <f t="shared" si="57"/>
        <v>705426901.19429731</v>
      </c>
      <c r="Z182" s="40">
        <f t="shared" si="57"/>
        <v>705426901.19429731</v>
      </c>
      <c r="AA182" s="40">
        <f t="shared" si="57"/>
        <v>705426901.19429731</v>
      </c>
      <c r="AB182" s="40">
        <f t="shared" si="57"/>
        <v>705426901.19429731</v>
      </c>
      <c r="AC182" s="40">
        <f t="shared" si="57"/>
        <v>705426901.19429731</v>
      </c>
      <c r="AD182" s="44">
        <f t="shared" si="57"/>
        <v>705426901.19429731</v>
      </c>
      <c r="AE182" s="20">
        <f t="shared" si="57"/>
        <v>705426901.19429731</v>
      </c>
      <c r="AF182" s="20">
        <f t="shared" si="57"/>
        <v>858495258.79900205</v>
      </c>
      <c r="AG182" s="20">
        <f t="shared" si="57"/>
        <v>858495258.79900205</v>
      </c>
      <c r="AH182" s="20">
        <f t="shared" si="57"/>
        <v>858495258.79900205</v>
      </c>
      <c r="AI182" s="20">
        <f t="shared" si="57"/>
        <v>858495258.79900205</v>
      </c>
      <c r="AJ182" s="24">
        <f t="shared" si="57"/>
        <v>858495258.79900205</v>
      </c>
      <c r="AK182" s="40">
        <f t="shared" si="57"/>
        <v>858495258.79900205</v>
      </c>
      <c r="AL182" s="40">
        <f t="shared" si="57"/>
        <v>858495258.79900205</v>
      </c>
      <c r="AM182" s="40">
        <f t="shared" si="57"/>
        <v>858495258.79900205</v>
      </c>
      <c r="AN182" s="40">
        <f t="shared" si="57"/>
        <v>858495258.79900205</v>
      </c>
      <c r="AO182" s="20">
        <f t="shared" si="57"/>
        <v>858495258.79900205</v>
      </c>
      <c r="AP182" s="24">
        <f t="shared" si="57"/>
        <v>858495258.79900205</v>
      </c>
      <c r="AQ182" s="20">
        <f t="shared" si="57"/>
        <v>858495258.79900205</v>
      </c>
      <c r="AR182" s="20">
        <f t="shared" si="57"/>
        <v>858495258.79900205</v>
      </c>
      <c r="AS182" s="20">
        <f t="shared" si="57"/>
        <v>858495258.79900205</v>
      </c>
      <c r="AT182" s="20">
        <f t="shared" si="57"/>
        <v>858495258.79900205</v>
      </c>
      <c r="AU182" s="20">
        <f t="shared" si="57"/>
        <v>858495258.79900205</v>
      </c>
      <c r="AV182" s="24">
        <f t="shared" si="57"/>
        <v>858495258.79900205</v>
      </c>
      <c r="AW182" s="20">
        <f t="shared" si="57"/>
        <v>858495258.79900205</v>
      </c>
      <c r="AX182" s="20">
        <f t="shared" si="57"/>
        <v>858495258.79900205</v>
      </c>
      <c r="AY182" s="20">
        <f t="shared" si="57"/>
        <v>858495258.79900205</v>
      </c>
      <c r="AZ182" s="20">
        <f t="shared" si="57"/>
        <v>858495258.79900205</v>
      </c>
      <c r="BA182" s="20">
        <f t="shared" si="57"/>
        <v>858495258.79900205</v>
      </c>
      <c r="BB182" s="24">
        <f t="shared" si="57"/>
        <v>858495258.79900205</v>
      </c>
      <c r="BC182" s="20">
        <f t="shared" si="57"/>
        <v>858495258.79900205</v>
      </c>
      <c r="BD182" s="20">
        <f t="shared" si="57"/>
        <v>858495258.79900205</v>
      </c>
      <c r="BE182" s="20">
        <f t="shared" si="57"/>
        <v>858495258.79900205</v>
      </c>
      <c r="BF182" s="44">
        <f t="shared" si="57"/>
        <v>858495258.79900205</v>
      </c>
      <c r="BG182" s="20">
        <f t="shared" si="57"/>
        <v>766924326.31173921</v>
      </c>
      <c r="BH182" s="26">
        <f t="shared" si="57"/>
        <v>766924326.31173921</v>
      </c>
      <c r="BI182" s="24">
        <f t="shared" si="57"/>
        <v>766924326.31173921</v>
      </c>
      <c r="BJ182" s="36">
        <f t="shared" si="57"/>
        <v>766924326.31173921</v>
      </c>
      <c r="BK182" s="20">
        <f t="shared" si="57"/>
        <v>766924326.31173921</v>
      </c>
      <c r="BL182" s="36">
        <f t="shared" si="57"/>
        <v>766924326.31173921</v>
      </c>
      <c r="BM182" s="20">
        <f t="shared" si="57"/>
        <v>766924326.31173921</v>
      </c>
      <c r="BN182" s="20">
        <f t="shared" si="57"/>
        <v>766924326.31173921</v>
      </c>
      <c r="BO182" s="20">
        <f t="shared" si="57"/>
        <v>766924326.31173921</v>
      </c>
      <c r="BP182" s="20">
        <f t="shared" ref="BP182:CS182" si="58">BP181+SUM(BP110:BP117)-BP114</f>
        <v>766924326.31173921</v>
      </c>
      <c r="BQ182" s="36">
        <f t="shared" si="58"/>
        <v>766924326.31173921</v>
      </c>
      <c r="BR182" s="20">
        <f t="shared" si="58"/>
        <v>766924326.31173921</v>
      </c>
      <c r="BS182" s="36">
        <f t="shared" si="58"/>
        <v>766924326.31173921</v>
      </c>
      <c r="BT182" s="20">
        <f t="shared" si="58"/>
        <v>766924326.31173921</v>
      </c>
      <c r="BU182" s="20">
        <f t="shared" si="58"/>
        <v>766924326.31173921</v>
      </c>
      <c r="BV182" s="20">
        <f t="shared" si="58"/>
        <v>766924326.31173921</v>
      </c>
      <c r="BW182" s="20">
        <f t="shared" si="58"/>
        <v>766924326.31173921</v>
      </c>
      <c r="BX182" s="20">
        <f t="shared" si="58"/>
        <v>766924326.31173921</v>
      </c>
      <c r="BY182" s="20">
        <f t="shared" si="58"/>
        <v>766924326.31173921</v>
      </c>
      <c r="BZ182" s="20">
        <f t="shared" si="58"/>
        <v>766924326.31173921</v>
      </c>
      <c r="CA182" s="20">
        <f t="shared" si="58"/>
        <v>766924326.31173921</v>
      </c>
      <c r="CB182" s="20">
        <f t="shared" si="58"/>
        <v>766924326.31173921</v>
      </c>
      <c r="CC182" s="20">
        <f t="shared" si="58"/>
        <v>766924326.31173921</v>
      </c>
      <c r="CD182" s="20">
        <f t="shared" si="58"/>
        <v>766924326.31173921</v>
      </c>
      <c r="CE182" s="20">
        <f t="shared" si="58"/>
        <v>766924326.31173921</v>
      </c>
      <c r="CF182" s="20">
        <f t="shared" si="58"/>
        <v>766924326.31173921</v>
      </c>
      <c r="CG182" s="20">
        <f t="shared" si="58"/>
        <v>766924326.31173921</v>
      </c>
      <c r="CH182" s="20">
        <f t="shared" si="58"/>
        <v>766924326.31173921</v>
      </c>
      <c r="CI182" s="20">
        <f t="shared" si="58"/>
        <v>766924326.31173921</v>
      </c>
      <c r="CJ182" s="36">
        <f t="shared" si="58"/>
        <v>766924326.31173921</v>
      </c>
      <c r="CK182" s="20">
        <f t="shared" si="58"/>
        <v>766924326.31173921</v>
      </c>
      <c r="CL182" s="36">
        <f t="shared" si="58"/>
        <v>766924326.31173921</v>
      </c>
      <c r="CM182" s="20">
        <f t="shared" si="58"/>
        <v>766924326.31173921</v>
      </c>
      <c r="CN182" s="20">
        <f t="shared" si="58"/>
        <v>766924326.31173921</v>
      </c>
      <c r="CO182" s="20">
        <f t="shared" si="58"/>
        <v>766924326.31173921</v>
      </c>
      <c r="CP182" s="20">
        <f t="shared" si="58"/>
        <v>766924326.31173921</v>
      </c>
      <c r="CQ182" s="20">
        <f t="shared" si="58"/>
        <v>766924326.31173921</v>
      </c>
      <c r="CR182" s="20">
        <f t="shared" si="58"/>
        <v>766924326.31173921</v>
      </c>
      <c r="CS182" s="20">
        <f t="shared" si="58"/>
        <v>766924326.31173921</v>
      </c>
    </row>
    <row r="183" spans="1:97" s="20" customFormat="1" x14ac:dyDescent="0.25">
      <c r="A183" s="21" t="s">
        <v>183</v>
      </c>
      <c r="C183" s="24">
        <f>SUM(C120:C128)-C125</f>
        <v>-270349060.31405419</v>
      </c>
      <c r="D183" s="20">
        <f t="shared" ref="D183:BO183" si="59">SUM(D120:D128)-D125</f>
        <v>-270349060.31405419</v>
      </c>
      <c r="E183" s="20">
        <f t="shared" si="59"/>
        <v>-270349060.31405419</v>
      </c>
      <c r="F183" s="20">
        <f t="shared" si="59"/>
        <v>-270349060.31405419</v>
      </c>
      <c r="G183" s="20">
        <f t="shared" si="59"/>
        <v>-270349060.31405419</v>
      </c>
      <c r="H183" s="20">
        <f t="shared" si="59"/>
        <v>-270349060.31405419</v>
      </c>
      <c r="I183" s="20">
        <f t="shared" si="59"/>
        <v>-270349060.31405419</v>
      </c>
      <c r="J183" s="20">
        <f t="shared" si="59"/>
        <v>-270349060.31405419</v>
      </c>
      <c r="K183" s="26">
        <f t="shared" si="59"/>
        <v>-270349060.31405419</v>
      </c>
      <c r="L183" s="24">
        <f t="shared" si="59"/>
        <v>-270349060.31405419</v>
      </c>
      <c r="M183" s="20">
        <f t="shared" si="59"/>
        <v>-270349060.31405419</v>
      </c>
      <c r="N183" s="20">
        <f t="shared" si="59"/>
        <v>-270349060.31405419</v>
      </c>
      <c r="O183" s="24">
        <f t="shared" si="59"/>
        <v>-270349060.31405419</v>
      </c>
      <c r="P183" s="20">
        <f t="shared" si="59"/>
        <v>-270349060.31405419</v>
      </c>
      <c r="Q183" s="20">
        <f t="shared" si="59"/>
        <v>-35639455.909624197</v>
      </c>
      <c r="R183" s="26">
        <f t="shared" si="59"/>
        <v>-35639455.909624197</v>
      </c>
      <c r="S183" s="26">
        <f t="shared" si="59"/>
        <v>-35639455.909624197</v>
      </c>
      <c r="T183" s="24">
        <f t="shared" si="59"/>
        <v>-35639455.909624197</v>
      </c>
      <c r="U183" s="40">
        <f t="shared" si="59"/>
        <v>-35639455.909624197</v>
      </c>
      <c r="V183" s="40">
        <f t="shared" si="59"/>
        <v>-35639455.909624197</v>
      </c>
      <c r="W183" s="40">
        <f t="shared" si="59"/>
        <v>-35639455.909624197</v>
      </c>
      <c r="X183" s="40">
        <f t="shared" si="59"/>
        <v>-35639455.909624197</v>
      </c>
      <c r="Y183" s="24">
        <f t="shared" si="59"/>
        <v>-35639455.909624197</v>
      </c>
      <c r="Z183" s="40">
        <f t="shared" si="59"/>
        <v>-35639455.909624197</v>
      </c>
      <c r="AA183" s="40">
        <f t="shared" si="59"/>
        <v>-35639455.909624197</v>
      </c>
      <c r="AB183" s="40">
        <f t="shared" si="59"/>
        <v>-35639455.909624197</v>
      </c>
      <c r="AC183" s="40">
        <f t="shared" si="59"/>
        <v>-35639455.909624197</v>
      </c>
      <c r="AD183" s="44">
        <f t="shared" si="59"/>
        <v>-35639455.909624197</v>
      </c>
      <c r="AE183" s="20">
        <f t="shared" si="59"/>
        <v>-35639455.909624197</v>
      </c>
      <c r="AF183" s="20">
        <f t="shared" si="59"/>
        <v>-55573531.539982945</v>
      </c>
      <c r="AG183" s="20">
        <f t="shared" si="59"/>
        <v>-55573531.539982945</v>
      </c>
      <c r="AH183" s="20">
        <f t="shared" si="59"/>
        <v>-55573531.539982945</v>
      </c>
      <c r="AI183" s="20">
        <f t="shared" si="59"/>
        <v>-55573531.539982945</v>
      </c>
      <c r="AJ183" s="24">
        <f t="shared" si="59"/>
        <v>-55573531.539982945</v>
      </c>
      <c r="AK183" s="40">
        <f t="shared" si="59"/>
        <v>-55573531.539982945</v>
      </c>
      <c r="AL183" s="40">
        <f t="shared" si="59"/>
        <v>-55573531.539982945</v>
      </c>
      <c r="AM183" s="40">
        <f t="shared" si="59"/>
        <v>-55573531.539982945</v>
      </c>
      <c r="AN183" s="40">
        <f t="shared" si="59"/>
        <v>-55573531.539982945</v>
      </c>
      <c r="AO183" s="20">
        <f t="shared" si="59"/>
        <v>-55573531.539982945</v>
      </c>
      <c r="AP183" s="24">
        <f t="shared" si="59"/>
        <v>-55573531.539982945</v>
      </c>
      <c r="AQ183" s="20">
        <f t="shared" si="59"/>
        <v>-55573531.539982945</v>
      </c>
      <c r="AR183" s="20">
        <f t="shared" si="59"/>
        <v>-55573531.539982945</v>
      </c>
      <c r="AS183" s="20">
        <f t="shared" si="59"/>
        <v>-55573531.539982945</v>
      </c>
      <c r="AT183" s="20">
        <f t="shared" si="59"/>
        <v>-55573531.539982945</v>
      </c>
      <c r="AU183" s="20">
        <f t="shared" si="59"/>
        <v>-55573531.539982945</v>
      </c>
      <c r="AV183" s="24">
        <f t="shared" si="59"/>
        <v>-55573531.539982945</v>
      </c>
      <c r="AW183" s="20">
        <f t="shared" si="59"/>
        <v>-55573531.539982945</v>
      </c>
      <c r="AX183" s="20">
        <f t="shared" si="59"/>
        <v>-55573531.539982945</v>
      </c>
      <c r="AY183" s="20">
        <f t="shared" si="59"/>
        <v>-55573531.539982945</v>
      </c>
      <c r="AZ183" s="20">
        <f t="shared" si="59"/>
        <v>-55573531.539982945</v>
      </c>
      <c r="BA183" s="20">
        <f t="shared" si="59"/>
        <v>-55573531.539982945</v>
      </c>
      <c r="BB183" s="24">
        <f t="shared" si="59"/>
        <v>-55573531.539982945</v>
      </c>
      <c r="BC183" s="20">
        <f t="shared" si="59"/>
        <v>-55573531.539982945</v>
      </c>
      <c r="BD183" s="20">
        <f t="shared" si="59"/>
        <v>-55573531.539982945</v>
      </c>
      <c r="BE183" s="20">
        <f t="shared" si="59"/>
        <v>-55573531.539982945</v>
      </c>
      <c r="BF183" s="44">
        <f t="shared" si="59"/>
        <v>-55573531.539982945</v>
      </c>
      <c r="BG183" s="20">
        <f t="shared" si="59"/>
        <v>-343542.87254482508</v>
      </c>
      <c r="BH183" s="26">
        <f t="shared" si="59"/>
        <v>-343542.87254482508</v>
      </c>
      <c r="BI183" s="24">
        <f t="shared" si="59"/>
        <v>-343542.87254482508</v>
      </c>
      <c r="BJ183" s="36">
        <f t="shared" si="59"/>
        <v>-343542.87254482508</v>
      </c>
      <c r="BK183" s="20">
        <f t="shared" si="59"/>
        <v>-343542.87254482508</v>
      </c>
      <c r="BL183" s="36">
        <f t="shared" si="59"/>
        <v>-343542.87254482508</v>
      </c>
      <c r="BM183" s="20">
        <f t="shared" si="59"/>
        <v>-343542.87254482508</v>
      </c>
      <c r="BN183" s="20">
        <f t="shared" si="59"/>
        <v>-343542.87254482508</v>
      </c>
      <c r="BO183" s="20">
        <f t="shared" si="59"/>
        <v>-343542.87254482508</v>
      </c>
      <c r="BP183" s="20">
        <f t="shared" ref="BP183:CS183" si="60">SUM(BP120:BP128)-BP125</f>
        <v>-343542.87254482508</v>
      </c>
      <c r="BQ183" s="36">
        <f t="shared" si="60"/>
        <v>-343542.87254482508</v>
      </c>
      <c r="BR183" s="20">
        <f t="shared" si="60"/>
        <v>-343542.87254482508</v>
      </c>
      <c r="BS183" s="36">
        <f t="shared" si="60"/>
        <v>-343542.87254482508</v>
      </c>
      <c r="BT183" s="20">
        <f t="shared" si="60"/>
        <v>-343542.87254482508</v>
      </c>
      <c r="BU183" s="20">
        <f t="shared" si="60"/>
        <v>-343542.87254482508</v>
      </c>
      <c r="BV183" s="20">
        <f t="shared" si="60"/>
        <v>-343542.87254482508</v>
      </c>
      <c r="BW183" s="20">
        <f t="shared" si="60"/>
        <v>-343542.87254482508</v>
      </c>
      <c r="BX183" s="20">
        <f t="shared" si="60"/>
        <v>-343542.87254482508</v>
      </c>
      <c r="BY183" s="20">
        <f t="shared" si="60"/>
        <v>-343542.87254482508</v>
      </c>
      <c r="BZ183" s="20">
        <f t="shared" si="60"/>
        <v>-343542.87254482508</v>
      </c>
      <c r="CA183" s="20">
        <f t="shared" si="60"/>
        <v>-343542.87254482508</v>
      </c>
      <c r="CB183" s="20">
        <f t="shared" si="60"/>
        <v>-343542.87254482508</v>
      </c>
      <c r="CC183" s="20">
        <f t="shared" si="60"/>
        <v>-343542.87254482508</v>
      </c>
      <c r="CD183" s="20">
        <f t="shared" si="60"/>
        <v>-343542.87254482508</v>
      </c>
      <c r="CE183" s="20">
        <f t="shared" si="60"/>
        <v>-343542.87254482508</v>
      </c>
      <c r="CF183" s="20">
        <f t="shared" si="60"/>
        <v>-343542.87254482508</v>
      </c>
      <c r="CG183" s="20">
        <f t="shared" si="60"/>
        <v>-343542.87254482508</v>
      </c>
      <c r="CH183" s="20">
        <f t="shared" si="60"/>
        <v>-343542.87254482508</v>
      </c>
      <c r="CI183" s="20">
        <f t="shared" si="60"/>
        <v>-343542.87254482508</v>
      </c>
      <c r="CJ183" s="36">
        <f t="shared" si="60"/>
        <v>-343542.87254482508</v>
      </c>
      <c r="CK183" s="20">
        <f t="shared" si="60"/>
        <v>-343542.87254482508</v>
      </c>
      <c r="CL183" s="36">
        <f t="shared" si="60"/>
        <v>-343542.87254482508</v>
      </c>
      <c r="CM183" s="20">
        <f t="shared" si="60"/>
        <v>-343542.87254482508</v>
      </c>
      <c r="CN183" s="20">
        <f t="shared" si="60"/>
        <v>-343542.87254482508</v>
      </c>
      <c r="CO183" s="20">
        <f t="shared" si="60"/>
        <v>-343542.87254482508</v>
      </c>
      <c r="CP183" s="20">
        <f t="shared" si="60"/>
        <v>-343542.87254482508</v>
      </c>
      <c r="CQ183" s="20">
        <f t="shared" si="60"/>
        <v>-343542.87254482508</v>
      </c>
      <c r="CR183" s="20">
        <f t="shared" si="60"/>
        <v>-343542.87254482508</v>
      </c>
      <c r="CS183" s="20">
        <f t="shared" si="60"/>
        <v>-343542.87254482508</v>
      </c>
    </row>
    <row r="184" spans="1:97" s="20" customFormat="1" x14ac:dyDescent="0.25">
      <c r="A184" s="21" t="s">
        <v>184</v>
      </c>
      <c r="C184" s="24">
        <f>SUM(C129:C137)-C134</f>
        <v>-118554059.48605698</v>
      </c>
      <c r="D184" s="20">
        <f t="shared" ref="D184:BO184" si="61">SUM(D129:D137)-D134</f>
        <v>-118554059.48605698</v>
      </c>
      <c r="E184" s="20">
        <f t="shared" si="61"/>
        <v>-118554059.48605698</v>
      </c>
      <c r="F184" s="20">
        <f t="shared" si="61"/>
        <v>-118554059.48605698</v>
      </c>
      <c r="G184" s="20">
        <f t="shared" si="61"/>
        <v>-118554059.48605698</v>
      </c>
      <c r="H184" s="20">
        <f t="shared" si="61"/>
        <v>-118554059.48605698</v>
      </c>
      <c r="I184" s="20">
        <f t="shared" si="61"/>
        <v>-118554059.48605698</v>
      </c>
      <c r="J184" s="20">
        <f t="shared" si="61"/>
        <v>-118554059.48605698</v>
      </c>
      <c r="K184" s="26">
        <f t="shared" si="61"/>
        <v>-118554059.48605698</v>
      </c>
      <c r="L184" s="24">
        <f t="shared" si="61"/>
        <v>-118554059.48605698</v>
      </c>
      <c r="M184" s="20">
        <f t="shared" si="61"/>
        <v>-118554059.48605698</v>
      </c>
      <c r="N184" s="20">
        <f t="shared" si="61"/>
        <v>-118554059.48605698</v>
      </c>
      <c r="O184" s="24">
        <f t="shared" si="61"/>
        <v>-118554059.48605698</v>
      </c>
      <c r="P184" s="20">
        <f t="shared" si="61"/>
        <v>-118554059.48605698</v>
      </c>
      <c r="Q184" s="20">
        <f t="shared" si="61"/>
        <v>-68498560.007751986</v>
      </c>
      <c r="R184" s="26">
        <f t="shared" si="61"/>
        <v>-68498560.007751986</v>
      </c>
      <c r="S184" s="26">
        <f t="shared" si="61"/>
        <v>-68498560.007751986</v>
      </c>
      <c r="T184" s="24">
        <f t="shared" si="61"/>
        <v>-68498560.007751986</v>
      </c>
      <c r="U184" s="40">
        <f t="shared" si="61"/>
        <v>-68498560.007751986</v>
      </c>
      <c r="V184" s="40">
        <f t="shared" si="61"/>
        <v>-68498560.007751986</v>
      </c>
      <c r="W184" s="40">
        <f t="shared" si="61"/>
        <v>-68498560.007751986</v>
      </c>
      <c r="X184" s="40">
        <f t="shared" si="61"/>
        <v>-68498560.007751986</v>
      </c>
      <c r="Y184" s="24">
        <f t="shared" si="61"/>
        <v>-68498560.007751986</v>
      </c>
      <c r="Z184" s="40">
        <f t="shared" si="61"/>
        <v>-68498560.007751986</v>
      </c>
      <c r="AA184" s="40">
        <f t="shared" si="61"/>
        <v>-68498560.007751986</v>
      </c>
      <c r="AB184" s="40">
        <f t="shared" si="61"/>
        <v>-68498560.007751986</v>
      </c>
      <c r="AC184" s="40">
        <f t="shared" si="61"/>
        <v>-68498560.007751986</v>
      </c>
      <c r="AD184" s="44">
        <f t="shared" si="61"/>
        <v>-68498560.007751986</v>
      </c>
      <c r="AE184" s="20">
        <f t="shared" si="61"/>
        <v>-68498560.007751986</v>
      </c>
      <c r="AF184" s="20">
        <f t="shared" si="61"/>
        <v>-29310435.095137522</v>
      </c>
      <c r="AG184" s="20">
        <f t="shared" si="61"/>
        <v>-29310435.095137522</v>
      </c>
      <c r="AH184" s="20">
        <f t="shared" si="61"/>
        <v>-29310435.095137522</v>
      </c>
      <c r="AI184" s="20">
        <f t="shared" si="61"/>
        <v>-29310435.095137522</v>
      </c>
      <c r="AJ184" s="24">
        <f t="shared" si="61"/>
        <v>-29310435.095137522</v>
      </c>
      <c r="AK184" s="40">
        <f t="shared" si="61"/>
        <v>-29310435.095137522</v>
      </c>
      <c r="AL184" s="40">
        <f t="shared" si="61"/>
        <v>-29310435.095137522</v>
      </c>
      <c r="AM184" s="40">
        <f t="shared" si="61"/>
        <v>-29310435.095137522</v>
      </c>
      <c r="AN184" s="40">
        <f t="shared" si="61"/>
        <v>-29310435.095137522</v>
      </c>
      <c r="AO184" s="20">
        <f t="shared" si="61"/>
        <v>-29310435.095137522</v>
      </c>
      <c r="AP184" s="24">
        <f t="shared" si="61"/>
        <v>-29310435.095137522</v>
      </c>
      <c r="AQ184" s="20">
        <f t="shared" si="61"/>
        <v>-29310435.095137522</v>
      </c>
      <c r="AR184" s="20">
        <f t="shared" si="61"/>
        <v>-29310435.095137522</v>
      </c>
      <c r="AS184" s="20">
        <f t="shared" si="61"/>
        <v>-29310435.095137522</v>
      </c>
      <c r="AT184" s="20">
        <f t="shared" si="61"/>
        <v>-29310435.095137522</v>
      </c>
      <c r="AU184" s="20">
        <f t="shared" si="61"/>
        <v>-29310435.095137522</v>
      </c>
      <c r="AV184" s="24">
        <f t="shared" si="61"/>
        <v>-29310435.095137522</v>
      </c>
      <c r="AW184" s="20">
        <f t="shared" si="61"/>
        <v>-29310435.095137522</v>
      </c>
      <c r="AX184" s="20">
        <f t="shared" si="61"/>
        <v>-29310435.095137522</v>
      </c>
      <c r="AY184" s="20">
        <f t="shared" si="61"/>
        <v>-29310435.095137522</v>
      </c>
      <c r="AZ184" s="20">
        <f t="shared" si="61"/>
        <v>-29310435.095137522</v>
      </c>
      <c r="BA184" s="20">
        <f t="shared" si="61"/>
        <v>-29310435.095137522</v>
      </c>
      <c r="BB184" s="24">
        <f t="shared" si="61"/>
        <v>-29310435.095137522</v>
      </c>
      <c r="BC184" s="20">
        <f t="shared" si="61"/>
        <v>-29310435.095137522</v>
      </c>
      <c r="BD184" s="20">
        <f t="shared" si="61"/>
        <v>-29310435.095137522</v>
      </c>
      <c r="BE184" s="20">
        <f t="shared" si="61"/>
        <v>-29310435.095137522</v>
      </c>
      <c r="BF184" s="44">
        <f t="shared" si="61"/>
        <v>-29310435.095137522</v>
      </c>
      <c r="BG184" s="20">
        <f t="shared" si="61"/>
        <v>-89230627.197820738</v>
      </c>
      <c r="BH184" s="26">
        <f t="shared" si="61"/>
        <v>-89230627.197820738</v>
      </c>
      <c r="BI184" s="24">
        <f t="shared" si="61"/>
        <v>-89230627.197820738</v>
      </c>
      <c r="BJ184" s="36">
        <f t="shared" si="61"/>
        <v>-89230627.197820738</v>
      </c>
      <c r="BK184" s="20">
        <f t="shared" si="61"/>
        <v>-89230627.197820738</v>
      </c>
      <c r="BL184" s="36">
        <f t="shared" si="61"/>
        <v>-89230627.197820738</v>
      </c>
      <c r="BM184" s="20">
        <f t="shared" si="61"/>
        <v>-89230627.197820738</v>
      </c>
      <c r="BN184" s="20">
        <f t="shared" si="61"/>
        <v>-89230627.197820738</v>
      </c>
      <c r="BO184" s="20">
        <f t="shared" si="61"/>
        <v>-89230627.197820738</v>
      </c>
      <c r="BP184" s="20">
        <f t="shared" ref="BP184:CS184" si="62">SUM(BP129:BP137)-BP134</f>
        <v>-89230627.197820738</v>
      </c>
      <c r="BQ184" s="36">
        <f t="shared" si="62"/>
        <v>-89230627.197820738</v>
      </c>
      <c r="BR184" s="20">
        <f t="shared" si="62"/>
        <v>-89230627.197820738</v>
      </c>
      <c r="BS184" s="36">
        <f t="shared" si="62"/>
        <v>-89230627.197820738</v>
      </c>
      <c r="BT184" s="20">
        <f t="shared" si="62"/>
        <v>-89230627.197820738</v>
      </c>
      <c r="BU184" s="20">
        <f t="shared" si="62"/>
        <v>-89230627.197820738</v>
      </c>
      <c r="BV184" s="20">
        <f t="shared" si="62"/>
        <v>-89230627.197820738</v>
      </c>
      <c r="BW184" s="20">
        <f t="shared" si="62"/>
        <v>-89230627.197820738</v>
      </c>
      <c r="BX184" s="20">
        <f t="shared" si="62"/>
        <v>-89230627.197820738</v>
      </c>
      <c r="BY184" s="20">
        <f t="shared" si="62"/>
        <v>-89230627.197820738</v>
      </c>
      <c r="BZ184" s="20">
        <f t="shared" si="62"/>
        <v>-89230627.197820738</v>
      </c>
      <c r="CA184" s="20">
        <f t="shared" si="62"/>
        <v>-89230627.197820738</v>
      </c>
      <c r="CB184" s="20">
        <f t="shared" si="62"/>
        <v>-89230627.197820738</v>
      </c>
      <c r="CC184" s="20">
        <f t="shared" si="62"/>
        <v>-89230627.197820738</v>
      </c>
      <c r="CD184" s="20">
        <f t="shared" si="62"/>
        <v>-89230627.197820738</v>
      </c>
      <c r="CE184" s="20">
        <f t="shared" si="62"/>
        <v>-89230627.197820738</v>
      </c>
      <c r="CF184" s="20">
        <f t="shared" si="62"/>
        <v>-89230627.197820738</v>
      </c>
      <c r="CG184" s="20">
        <f t="shared" si="62"/>
        <v>-89230627.197820738</v>
      </c>
      <c r="CH184" s="20">
        <f t="shared" si="62"/>
        <v>-89230627.197820738</v>
      </c>
      <c r="CI184" s="20">
        <f t="shared" si="62"/>
        <v>-89230627.197820738</v>
      </c>
      <c r="CJ184" s="36">
        <f t="shared" si="62"/>
        <v>-89230627.197820738</v>
      </c>
      <c r="CK184" s="20">
        <f t="shared" si="62"/>
        <v>-89230627.197820738</v>
      </c>
      <c r="CL184" s="36">
        <f t="shared" si="62"/>
        <v>-89230627.197820738</v>
      </c>
      <c r="CM184" s="20">
        <f t="shared" si="62"/>
        <v>-89230627.197820738</v>
      </c>
      <c r="CN184" s="20">
        <f t="shared" si="62"/>
        <v>-89230627.197820738</v>
      </c>
      <c r="CO184" s="20">
        <f t="shared" si="62"/>
        <v>-89230627.197820738</v>
      </c>
      <c r="CP184" s="20">
        <f t="shared" si="62"/>
        <v>-89230627.197820738</v>
      </c>
      <c r="CQ184" s="20">
        <f t="shared" si="62"/>
        <v>-89230627.197820738</v>
      </c>
      <c r="CR184" s="20">
        <f t="shared" si="62"/>
        <v>-89230627.197820738</v>
      </c>
      <c r="CS184" s="20">
        <f t="shared" si="62"/>
        <v>-89230627.197820738</v>
      </c>
    </row>
    <row r="185" spans="1:97" s="20" customFormat="1" x14ac:dyDescent="0.25">
      <c r="A185" s="21" t="s">
        <v>185</v>
      </c>
      <c r="C185" s="24">
        <f>SUM(C138:C146)-C143</f>
        <v>-72311977.688826442</v>
      </c>
      <c r="D185" s="20">
        <f t="shared" ref="D185:BO185" si="63">SUM(D138:D146)-D143</f>
        <v>-72311977.688826442</v>
      </c>
      <c r="E185" s="20">
        <f t="shared" si="63"/>
        <v>-72311977.688826442</v>
      </c>
      <c r="F185" s="20">
        <f t="shared" si="63"/>
        <v>-72311977.688826442</v>
      </c>
      <c r="G185" s="20">
        <f t="shared" si="63"/>
        <v>-72311977.688826442</v>
      </c>
      <c r="H185" s="20">
        <f t="shared" si="63"/>
        <v>-72311977.688826442</v>
      </c>
      <c r="I185" s="20">
        <f t="shared" si="63"/>
        <v>-72311977.688826442</v>
      </c>
      <c r="J185" s="20">
        <f t="shared" si="63"/>
        <v>-72311977.688826442</v>
      </c>
      <c r="K185" s="26">
        <f t="shared" si="63"/>
        <v>-72311977.688826442</v>
      </c>
      <c r="L185" s="24">
        <f t="shared" si="63"/>
        <v>-72311977.688826442</v>
      </c>
      <c r="M185" s="20">
        <f t="shared" si="63"/>
        <v>-72311977.688826442</v>
      </c>
      <c r="N185" s="20">
        <f t="shared" si="63"/>
        <v>-72311977.688826442</v>
      </c>
      <c r="O185" s="24">
        <f t="shared" si="63"/>
        <v>-72311977.688826442</v>
      </c>
      <c r="P185" s="20">
        <f t="shared" si="63"/>
        <v>-72311977.688826442</v>
      </c>
      <c r="Q185" s="20">
        <f t="shared" si="63"/>
        <v>-43956265.333333336</v>
      </c>
      <c r="R185" s="26">
        <f t="shared" si="63"/>
        <v>-43956265.333333336</v>
      </c>
      <c r="S185" s="26">
        <f t="shared" si="63"/>
        <v>-43956265.333333336</v>
      </c>
      <c r="T185" s="24">
        <f t="shared" si="63"/>
        <v>-43956265.333333336</v>
      </c>
      <c r="U185" s="40">
        <f t="shared" si="63"/>
        <v>-43956265.333333336</v>
      </c>
      <c r="V185" s="40">
        <f t="shared" si="63"/>
        <v>-43956265.333333336</v>
      </c>
      <c r="W185" s="40">
        <f t="shared" si="63"/>
        <v>-43956265.333333336</v>
      </c>
      <c r="X185" s="40">
        <f t="shared" si="63"/>
        <v>-43956265.333333336</v>
      </c>
      <c r="Y185" s="24">
        <f t="shared" si="63"/>
        <v>-43956265.333333336</v>
      </c>
      <c r="Z185" s="40">
        <f t="shared" si="63"/>
        <v>-43956265.333333336</v>
      </c>
      <c r="AA185" s="40">
        <f t="shared" si="63"/>
        <v>-43956265.333333336</v>
      </c>
      <c r="AB185" s="40">
        <f t="shared" si="63"/>
        <v>-43956265.333333336</v>
      </c>
      <c r="AC185" s="40">
        <f t="shared" si="63"/>
        <v>-43956265.333333336</v>
      </c>
      <c r="AD185" s="44">
        <f t="shared" si="63"/>
        <v>-43956265.333333336</v>
      </c>
      <c r="AE185" s="20">
        <f t="shared" si="63"/>
        <v>-43956265.333333336</v>
      </c>
      <c r="AF185" s="20">
        <f t="shared" si="63"/>
        <v>-96990193.744329646</v>
      </c>
      <c r="AG185" s="20">
        <f t="shared" si="63"/>
        <v>-96990193.744329646</v>
      </c>
      <c r="AH185" s="20">
        <f t="shared" si="63"/>
        <v>-96990193.744329646</v>
      </c>
      <c r="AI185" s="20">
        <f t="shared" si="63"/>
        <v>-96990193.744329646</v>
      </c>
      <c r="AJ185" s="24">
        <f t="shared" si="63"/>
        <v>-96990193.744329646</v>
      </c>
      <c r="AK185" s="40">
        <f t="shared" si="63"/>
        <v>-96990193.744329646</v>
      </c>
      <c r="AL185" s="40">
        <f t="shared" si="63"/>
        <v>-96990193.744329646</v>
      </c>
      <c r="AM185" s="40">
        <f t="shared" si="63"/>
        <v>-96990193.744329646</v>
      </c>
      <c r="AN185" s="40">
        <f t="shared" si="63"/>
        <v>-96990193.744329646</v>
      </c>
      <c r="AO185" s="20">
        <f t="shared" si="63"/>
        <v>-96990193.744329646</v>
      </c>
      <c r="AP185" s="24">
        <f t="shared" si="63"/>
        <v>-96990193.744329646</v>
      </c>
      <c r="AQ185" s="20">
        <f t="shared" si="63"/>
        <v>-96990193.744329646</v>
      </c>
      <c r="AR185" s="20">
        <f t="shared" si="63"/>
        <v>-96990193.744329646</v>
      </c>
      <c r="AS185" s="20">
        <f t="shared" si="63"/>
        <v>-96990193.744329646</v>
      </c>
      <c r="AT185" s="20">
        <f t="shared" si="63"/>
        <v>-96990193.744329646</v>
      </c>
      <c r="AU185" s="20">
        <f t="shared" si="63"/>
        <v>-96990193.744329646</v>
      </c>
      <c r="AV185" s="24">
        <f t="shared" si="63"/>
        <v>-96990193.744329646</v>
      </c>
      <c r="AW185" s="20">
        <f t="shared" si="63"/>
        <v>-96990193.744329646</v>
      </c>
      <c r="AX185" s="20">
        <f t="shared" si="63"/>
        <v>-96990193.744329646</v>
      </c>
      <c r="AY185" s="20">
        <f t="shared" si="63"/>
        <v>-96990193.744329646</v>
      </c>
      <c r="AZ185" s="20">
        <f t="shared" si="63"/>
        <v>-96990193.744329646</v>
      </c>
      <c r="BA185" s="20">
        <f t="shared" si="63"/>
        <v>-96990193.744329646</v>
      </c>
      <c r="BB185" s="24">
        <f t="shared" si="63"/>
        <v>-96990193.744329646</v>
      </c>
      <c r="BC185" s="20">
        <f t="shared" si="63"/>
        <v>-96990193.744329646</v>
      </c>
      <c r="BD185" s="20">
        <f t="shared" si="63"/>
        <v>-96990193.744329646</v>
      </c>
      <c r="BE185" s="20">
        <f t="shared" si="63"/>
        <v>-96990193.744329646</v>
      </c>
      <c r="BF185" s="44">
        <f t="shared" si="63"/>
        <v>-96990193.744329646</v>
      </c>
      <c r="BG185" s="20">
        <f t="shared" si="63"/>
        <v>-45987787.688333325</v>
      </c>
      <c r="BH185" s="26">
        <f t="shared" si="63"/>
        <v>-45987787.688333325</v>
      </c>
      <c r="BI185" s="24">
        <f t="shared" si="63"/>
        <v>-45987787.688333325</v>
      </c>
      <c r="BJ185" s="36">
        <f t="shared" si="63"/>
        <v>-45987787.688333325</v>
      </c>
      <c r="BK185" s="20">
        <f t="shared" si="63"/>
        <v>-45987787.688333325</v>
      </c>
      <c r="BL185" s="36">
        <f t="shared" si="63"/>
        <v>-45987787.688333325</v>
      </c>
      <c r="BM185" s="20">
        <f t="shared" si="63"/>
        <v>-45987787.688333325</v>
      </c>
      <c r="BN185" s="20">
        <f t="shared" si="63"/>
        <v>-45987787.688333325</v>
      </c>
      <c r="BO185" s="20">
        <f t="shared" si="63"/>
        <v>-45987787.688333325</v>
      </c>
      <c r="BP185" s="20">
        <f t="shared" ref="BP185:CS185" si="64">SUM(BP138:BP146)-BP143</f>
        <v>-45987787.688333325</v>
      </c>
      <c r="BQ185" s="36">
        <f t="shared" si="64"/>
        <v>-45987787.688333325</v>
      </c>
      <c r="BR185" s="20">
        <f t="shared" si="64"/>
        <v>-45987787.688333325</v>
      </c>
      <c r="BS185" s="36">
        <f t="shared" si="64"/>
        <v>-45987787.688333325</v>
      </c>
      <c r="BT185" s="20">
        <f t="shared" si="64"/>
        <v>-45987787.688333325</v>
      </c>
      <c r="BU185" s="20">
        <f t="shared" si="64"/>
        <v>-45987787.688333325</v>
      </c>
      <c r="BV185" s="20">
        <f t="shared" si="64"/>
        <v>-45987787.688333325</v>
      </c>
      <c r="BW185" s="20">
        <f t="shared" si="64"/>
        <v>-45987787.688333325</v>
      </c>
      <c r="BX185" s="20">
        <f t="shared" si="64"/>
        <v>-45987787.688333325</v>
      </c>
      <c r="BY185" s="20">
        <f t="shared" si="64"/>
        <v>-45987787.688333325</v>
      </c>
      <c r="BZ185" s="20">
        <f t="shared" si="64"/>
        <v>-45987787.688333325</v>
      </c>
      <c r="CA185" s="20">
        <f t="shared" si="64"/>
        <v>-45987787.688333325</v>
      </c>
      <c r="CB185" s="20">
        <f t="shared" si="64"/>
        <v>-45987787.688333325</v>
      </c>
      <c r="CC185" s="20">
        <f t="shared" si="64"/>
        <v>-45987787.688333325</v>
      </c>
      <c r="CD185" s="20">
        <f t="shared" si="64"/>
        <v>-45987787.688333325</v>
      </c>
      <c r="CE185" s="20">
        <f t="shared" si="64"/>
        <v>-45987787.688333325</v>
      </c>
      <c r="CF185" s="20">
        <f t="shared" si="64"/>
        <v>-45987787.688333325</v>
      </c>
      <c r="CG185" s="20">
        <f t="shared" si="64"/>
        <v>-45987787.688333325</v>
      </c>
      <c r="CH185" s="20">
        <f t="shared" si="64"/>
        <v>-45987787.688333325</v>
      </c>
      <c r="CI185" s="20">
        <f t="shared" si="64"/>
        <v>-45987787.688333325</v>
      </c>
      <c r="CJ185" s="36">
        <f t="shared" si="64"/>
        <v>-45987787.688333325</v>
      </c>
      <c r="CK185" s="20">
        <f t="shared" si="64"/>
        <v>-45987787.688333325</v>
      </c>
      <c r="CL185" s="36">
        <f t="shared" si="64"/>
        <v>-45987787.688333325</v>
      </c>
      <c r="CM185" s="20">
        <f t="shared" si="64"/>
        <v>-45987787.688333325</v>
      </c>
      <c r="CN185" s="20">
        <f t="shared" si="64"/>
        <v>-45987787.688333325</v>
      </c>
      <c r="CO185" s="20">
        <f t="shared" si="64"/>
        <v>-45987787.688333325</v>
      </c>
      <c r="CP185" s="20">
        <f t="shared" si="64"/>
        <v>-45987787.688333325</v>
      </c>
      <c r="CQ185" s="20">
        <f t="shared" si="64"/>
        <v>-45987787.688333325</v>
      </c>
      <c r="CR185" s="20">
        <f t="shared" si="64"/>
        <v>-45987787.688333325</v>
      </c>
      <c r="CS185" s="20">
        <f t="shared" si="64"/>
        <v>-45987787.688333325</v>
      </c>
    </row>
    <row r="186" spans="1:97" s="20" customFormat="1" x14ac:dyDescent="0.25">
      <c r="A186" s="21" t="s">
        <v>186</v>
      </c>
      <c r="C186" s="24">
        <f>SUM(C147:C155)-C152</f>
        <v>-156616500.48549309</v>
      </c>
      <c r="D186" s="20">
        <f t="shared" ref="D186:BO186" si="65">SUM(D147:D155)-D152</f>
        <v>-156616500.48549309</v>
      </c>
      <c r="E186" s="20">
        <f t="shared" si="65"/>
        <v>-156616500.48549309</v>
      </c>
      <c r="F186" s="20">
        <f t="shared" si="65"/>
        <v>-156616500.48549309</v>
      </c>
      <c r="G186" s="20">
        <f t="shared" si="65"/>
        <v>-156616500.48549309</v>
      </c>
      <c r="H186" s="20">
        <f t="shared" si="65"/>
        <v>-156616500.48549309</v>
      </c>
      <c r="I186" s="20">
        <f t="shared" si="65"/>
        <v>-156616500.48549309</v>
      </c>
      <c r="J186" s="20">
        <f t="shared" si="65"/>
        <v>-156616500.48549309</v>
      </c>
      <c r="K186" s="26">
        <f t="shared" si="65"/>
        <v>-156616500.48549309</v>
      </c>
      <c r="L186" s="24">
        <f t="shared" si="65"/>
        <v>-156616500.48549309</v>
      </c>
      <c r="M186" s="20">
        <f t="shared" si="65"/>
        <v>-156616500.48549309</v>
      </c>
      <c r="N186" s="20">
        <f t="shared" si="65"/>
        <v>-156616500.48549309</v>
      </c>
      <c r="O186" s="24">
        <f t="shared" si="65"/>
        <v>-156616500.48549309</v>
      </c>
      <c r="P186" s="20">
        <f t="shared" si="65"/>
        <v>-156616500.48549309</v>
      </c>
      <c r="Q186" s="20">
        <f t="shared" si="65"/>
        <v>-244179292.09563965</v>
      </c>
      <c r="R186" s="26">
        <f t="shared" si="65"/>
        <v>-244179292.09563965</v>
      </c>
      <c r="S186" s="26">
        <f t="shared" si="65"/>
        <v>-244179292.09563965</v>
      </c>
      <c r="T186" s="24">
        <f t="shared" si="65"/>
        <v>-244179292.09563965</v>
      </c>
      <c r="U186" s="40">
        <f t="shared" si="65"/>
        <v>-244179292.09563965</v>
      </c>
      <c r="V186" s="40">
        <f t="shared" si="65"/>
        <v>-244179292.09563965</v>
      </c>
      <c r="W186" s="40">
        <f t="shared" si="65"/>
        <v>-244179292.09563965</v>
      </c>
      <c r="X186" s="40">
        <f t="shared" si="65"/>
        <v>-244179292.09563965</v>
      </c>
      <c r="Y186" s="24">
        <f t="shared" si="65"/>
        <v>-244179292.09563965</v>
      </c>
      <c r="Z186" s="40">
        <f t="shared" si="65"/>
        <v>-244179292.09563965</v>
      </c>
      <c r="AA186" s="40">
        <f t="shared" si="65"/>
        <v>-244179292.09563965</v>
      </c>
      <c r="AB186" s="40">
        <f t="shared" si="65"/>
        <v>-244179292.09563965</v>
      </c>
      <c r="AC186" s="40">
        <f t="shared" si="65"/>
        <v>-244179292.09563965</v>
      </c>
      <c r="AD186" s="44">
        <f t="shared" si="65"/>
        <v>-244179292.09563965</v>
      </c>
      <c r="AE186" s="20">
        <f t="shared" si="65"/>
        <v>-244179292.09563965</v>
      </c>
      <c r="AF186" s="20">
        <f t="shared" si="65"/>
        <v>-230728113.9768939</v>
      </c>
      <c r="AG186" s="20">
        <f t="shared" si="65"/>
        <v>-230728113.9768939</v>
      </c>
      <c r="AH186" s="20">
        <f t="shared" si="65"/>
        <v>-230728113.9768939</v>
      </c>
      <c r="AI186" s="20">
        <f t="shared" si="65"/>
        <v>-230728113.9768939</v>
      </c>
      <c r="AJ186" s="24">
        <f t="shared" si="65"/>
        <v>-230728113.9768939</v>
      </c>
      <c r="AK186" s="40">
        <f t="shared" si="65"/>
        <v>-230728113.9768939</v>
      </c>
      <c r="AL186" s="40">
        <f t="shared" si="65"/>
        <v>-230728113.9768939</v>
      </c>
      <c r="AM186" s="40">
        <f t="shared" si="65"/>
        <v>-230728113.9768939</v>
      </c>
      <c r="AN186" s="40">
        <f t="shared" si="65"/>
        <v>-230728113.9768939</v>
      </c>
      <c r="AO186" s="20">
        <f t="shared" si="65"/>
        <v>-230728113.9768939</v>
      </c>
      <c r="AP186" s="24">
        <f t="shared" si="65"/>
        <v>-230728113.9768939</v>
      </c>
      <c r="AQ186" s="20">
        <f t="shared" si="65"/>
        <v>-230728113.9768939</v>
      </c>
      <c r="AR186" s="20">
        <f t="shared" si="65"/>
        <v>-230728113.9768939</v>
      </c>
      <c r="AS186" s="20">
        <f t="shared" si="65"/>
        <v>-230728113.9768939</v>
      </c>
      <c r="AT186" s="20">
        <f t="shared" si="65"/>
        <v>-230728113.9768939</v>
      </c>
      <c r="AU186" s="20">
        <f t="shared" si="65"/>
        <v>-230728113.9768939</v>
      </c>
      <c r="AV186" s="24">
        <f t="shared" si="65"/>
        <v>-230728113.9768939</v>
      </c>
      <c r="AW186" s="20">
        <f t="shared" si="65"/>
        <v>-230728113.9768939</v>
      </c>
      <c r="AX186" s="20">
        <f t="shared" si="65"/>
        <v>-230728113.9768939</v>
      </c>
      <c r="AY186" s="20">
        <f t="shared" si="65"/>
        <v>-230728113.9768939</v>
      </c>
      <c r="AZ186" s="20">
        <f t="shared" si="65"/>
        <v>-230728113.9768939</v>
      </c>
      <c r="BA186" s="20">
        <f t="shared" si="65"/>
        <v>-230728113.9768939</v>
      </c>
      <c r="BB186" s="24">
        <f t="shared" si="65"/>
        <v>-230728113.9768939</v>
      </c>
      <c r="BC186" s="20">
        <f t="shared" si="65"/>
        <v>-230728113.9768939</v>
      </c>
      <c r="BD186" s="20">
        <f t="shared" si="65"/>
        <v>-230728113.9768939</v>
      </c>
      <c r="BE186" s="20">
        <f t="shared" si="65"/>
        <v>-230728113.9768939</v>
      </c>
      <c r="BF186" s="44">
        <f t="shared" si="65"/>
        <v>-230728113.9768939</v>
      </c>
      <c r="BG186" s="20">
        <f t="shared" si="65"/>
        <v>-391609761.30287099</v>
      </c>
      <c r="BH186" s="26">
        <f t="shared" si="65"/>
        <v>-391609761.30287099</v>
      </c>
      <c r="BI186" s="24">
        <f t="shared" si="65"/>
        <v>-391609761.30287099</v>
      </c>
      <c r="BJ186" s="36">
        <f t="shared" si="65"/>
        <v>-391609761.30287099</v>
      </c>
      <c r="BK186" s="20">
        <f t="shared" si="65"/>
        <v>-391609761.30287099</v>
      </c>
      <c r="BL186" s="36">
        <f t="shared" si="65"/>
        <v>-391609761.30287099</v>
      </c>
      <c r="BM186" s="20">
        <f t="shared" si="65"/>
        <v>-391609761.30287099</v>
      </c>
      <c r="BN186" s="20">
        <f t="shared" si="65"/>
        <v>-391609761.30287099</v>
      </c>
      <c r="BO186" s="20">
        <f t="shared" si="65"/>
        <v>-391609761.30287099</v>
      </c>
      <c r="BP186" s="20">
        <f t="shared" ref="BP186:CS186" si="66">SUM(BP147:BP155)-BP152</f>
        <v>-391609761.30287099</v>
      </c>
      <c r="BQ186" s="36">
        <f t="shared" si="66"/>
        <v>-391609761.30287099</v>
      </c>
      <c r="BR186" s="20">
        <f t="shared" si="66"/>
        <v>-391609761.30287099</v>
      </c>
      <c r="BS186" s="36">
        <f t="shared" si="66"/>
        <v>-391609761.30287099</v>
      </c>
      <c r="BT186" s="20">
        <f t="shared" si="66"/>
        <v>-391609761.30287099</v>
      </c>
      <c r="BU186" s="20">
        <f t="shared" si="66"/>
        <v>-391609761.30287099</v>
      </c>
      <c r="BV186" s="20">
        <f t="shared" si="66"/>
        <v>-391609761.30287099</v>
      </c>
      <c r="BW186" s="20">
        <f t="shared" si="66"/>
        <v>-391609761.30287099</v>
      </c>
      <c r="BX186" s="20">
        <f t="shared" si="66"/>
        <v>-391609761.30287099</v>
      </c>
      <c r="BY186" s="20">
        <f t="shared" si="66"/>
        <v>-391609761.30287099</v>
      </c>
      <c r="BZ186" s="20">
        <f t="shared" si="66"/>
        <v>-391609761.30287099</v>
      </c>
      <c r="CA186" s="20">
        <f t="shared" si="66"/>
        <v>-391609761.30287099</v>
      </c>
      <c r="CB186" s="20">
        <f t="shared" si="66"/>
        <v>-391609761.30287099</v>
      </c>
      <c r="CC186" s="20">
        <f t="shared" si="66"/>
        <v>-391609761.30287099</v>
      </c>
      <c r="CD186" s="20">
        <f t="shared" si="66"/>
        <v>-391609761.30287099</v>
      </c>
      <c r="CE186" s="20">
        <f t="shared" si="66"/>
        <v>-391609761.30287099</v>
      </c>
      <c r="CF186" s="20">
        <f t="shared" si="66"/>
        <v>-391609761.30287099</v>
      </c>
      <c r="CG186" s="20">
        <f t="shared" si="66"/>
        <v>-391609761.30287099</v>
      </c>
      <c r="CH186" s="20">
        <f t="shared" si="66"/>
        <v>-391609761.30287099</v>
      </c>
      <c r="CI186" s="20">
        <f t="shared" si="66"/>
        <v>-391609761.30287099</v>
      </c>
      <c r="CJ186" s="36">
        <f t="shared" si="66"/>
        <v>-391609761.30287099</v>
      </c>
      <c r="CK186" s="20">
        <f t="shared" si="66"/>
        <v>-391609761.30287099</v>
      </c>
      <c r="CL186" s="36">
        <f t="shared" si="66"/>
        <v>-391609761.30287099</v>
      </c>
      <c r="CM186" s="20">
        <f t="shared" si="66"/>
        <v>-391609761.30287099</v>
      </c>
      <c r="CN186" s="20">
        <f t="shared" si="66"/>
        <v>-391609761.30287099</v>
      </c>
      <c r="CO186" s="20">
        <f t="shared" si="66"/>
        <v>-391609761.30287099</v>
      </c>
      <c r="CP186" s="20">
        <f t="shared" si="66"/>
        <v>-391609761.30287099</v>
      </c>
      <c r="CQ186" s="20">
        <f t="shared" si="66"/>
        <v>-391609761.30287099</v>
      </c>
      <c r="CR186" s="20">
        <f t="shared" si="66"/>
        <v>-391609761.30287099</v>
      </c>
      <c r="CS186" s="20">
        <f t="shared" si="66"/>
        <v>-391609761.30287099</v>
      </c>
    </row>
    <row r="187" spans="1:97" s="20" customFormat="1" x14ac:dyDescent="0.25">
      <c r="A187" s="21" t="s">
        <v>187</v>
      </c>
      <c r="C187" s="24">
        <f>SUM(C156:C164)-C161</f>
        <v>-777961475.63862181</v>
      </c>
      <c r="D187" s="20">
        <f t="shared" ref="D187:BO187" si="67">SUM(D156:D164)-D161</f>
        <v>-777961475.63862181</v>
      </c>
      <c r="E187" s="20">
        <f t="shared" si="67"/>
        <v>-777961475.63862181</v>
      </c>
      <c r="F187" s="20">
        <f t="shared" si="67"/>
        <v>-777961475.63862181</v>
      </c>
      <c r="G187" s="20">
        <f t="shared" si="67"/>
        <v>-777961475.63862181</v>
      </c>
      <c r="H187" s="20">
        <f t="shared" si="67"/>
        <v>-777961475.63862181</v>
      </c>
      <c r="I187" s="20">
        <f t="shared" si="67"/>
        <v>-777961475.63862181</v>
      </c>
      <c r="J187" s="20">
        <f t="shared" si="67"/>
        <v>-777961475.63862181</v>
      </c>
      <c r="K187" s="26">
        <f t="shared" si="67"/>
        <v>-777961475.63862181</v>
      </c>
      <c r="L187" s="24">
        <f t="shared" si="67"/>
        <v>-777961475.63862181</v>
      </c>
      <c r="M187" s="20">
        <f t="shared" si="67"/>
        <v>-777961475.63862181</v>
      </c>
      <c r="N187" s="20">
        <f t="shared" si="67"/>
        <v>-777961475.63862181</v>
      </c>
      <c r="O187" s="24">
        <f t="shared" si="67"/>
        <v>-777961475.63862181</v>
      </c>
      <c r="P187" s="20">
        <f t="shared" si="67"/>
        <v>-777961475.63862181</v>
      </c>
      <c r="Q187" s="20">
        <f t="shared" si="67"/>
        <v>-741913220.97793531</v>
      </c>
      <c r="R187" s="26">
        <f t="shared" si="67"/>
        <v>-741913220.97793531</v>
      </c>
      <c r="S187" s="26">
        <f t="shared" si="67"/>
        <v>-741913220.97793531</v>
      </c>
      <c r="T187" s="24">
        <f t="shared" si="67"/>
        <v>-741913220.97793531</v>
      </c>
      <c r="U187" s="40">
        <f t="shared" si="67"/>
        <v>-741913220.97793531</v>
      </c>
      <c r="V187" s="40">
        <f t="shared" si="67"/>
        <v>-741913220.97793531</v>
      </c>
      <c r="W187" s="40">
        <f t="shared" si="67"/>
        <v>-741913220.97793531</v>
      </c>
      <c r="X187" s="40">
        <f t="shared" si="67"/>
        <v>-741913220.97793531</v>
      </c>
      <c r="Y187" s="24">
        <f t="shared" si="67"/>
        <v>-741913220.97793531</v>
      </c>
      <c r="Z187" s="40">
        <f t="shared" si="67"/>
        <v>-741913220.97793531</v>
      </c>
      <c r="AA187" s="40">
        <f t="shared" si="67"/>
        <v>-741913220.97793531</v>
      </c>
      <c r="AB187" s="40">
        <f t="shared" si="67"/>
        <v>-741913220.97793531</v>
      </c>
      <c r="AC187" s="40">
        <f t="shared" si="67"/>
        <v>-741913220.97793531</v>
      </c>
      <c r="AD187" s="44">
        <f t="shared" si="67"/>
        <v>-741913220.97793531</v>
      </c>
      <c r="AE187" s="20">
        <f t="shared" si="67"/>
        <v>-741913220.97793531</v>
      </c>
      <c r="AF187" s="20">
        <f t="shared" si="67"/>
        <v>-903567640.64817309</v>
      </c>
      <c r="AG187" s="20">
        <f t="shared" si="67"/>
        <v>-903567640.64817309</v>
      </c>
      <c r="AH187" s="20">
        <f t="shared" si="67"/>
        <v>-903567640.64817309</v>
      </c>
      <c r="AI187" s="20">
        <f t="shared" si="67"/>
        <v>-903567640.64817309</v>
      </c>
      <c r="AJ187" s="24">
        <f t="shared" si="67"/>
        <v>-903567640.64817309</v>
      </c>
      <c r="AK187" s="40">
        <f t="shared" si="67"/>
        <v>-903567640.64817309</v>
      </c>
      <c r="AL187" s="40">
        <f t="shared" si="67"/>
        <v>-903567640.64817309</v>
      </c>
      <c r="AM187" s="40">
        <f t="shared" si="67"/>
        <v>-903567640.64817309</v>
      </c>
      <c r="AN187" s="40">
        <f t="shared" si="67"/>
        <v>-903567640.64817309</v>
      </c>
      <c r="AO187" s="20">
        <f t="shared" si="67"/>
        <v>-903567640.64817309</v>
      </c>
      <c r="AP187" s="24">
        <f t="shared" si="67"/>
        <v>-903567640.64817309</v>
      </c>
      <c r="AQ187" s="20">
        <f t="shared" si="67"/>
        <v>-903567640.64817309</v>
      </c>
      <c r="AR187" s="20">
        <f t="shared" si="67"/>
        <v>-903567640.64817309</v>
      </c>
      <c r="AS187" s="20">
        <f t="shared" si="67"/>
        <v>-903567640.64817309</v>
      </c>
      <c r="AT187" s="20">
        <f t="shared" si="67"/>
        <v>-903567640.64817309</v>
      </c>
      <c r="AU187" s="20">
        <f t="shared" si="67"/>
        <v>-903567640.64817309</v>
      </c>
      <c r="AV187" s="24">
        <f t="shared" si="67"/>
        <v>-903567640.64817309</v>
      </c>
      <c r="AW187" s="20">
        <f t="shared" si="67"/>
        <v>-903567640.64817309</v>
      </c>
      <c r="AX187" s="20">
        <f t="shared" si="67"/>
        <v>-903567640.64817309</v>
      </c>
      <c r="AY187" s="20">
        <f t="shared" si="67"/>
        <v>-903567640.64817309</v>
      </c>
      <c r="AZ187" s="20">
        <f t="shared" si="67"/>
        <v>-903567640.64817309</v>
      </c>
      <c r="BA187" s="20">
        <f t="shared" si="67"/>
        <v>-903567640.64817309</v>
      </c>
      <c r="BB187" s="24">
        <f t="shared" si="67"/>
        <v>-903567640.64817309</v>
      </c>
      <c r="BC187" s="20">
        <f t="shared" si="67"/>
        <v>-903567640.64817309</v>
      </c>
      <c r="BD187" s="20">
        <f t="shared" si="67"/>
        <v>-903567640.64817309</v>
      </c>
      <c r="BE187" s="20">
        <f t="shared" si="67"/>
        <v>-903567640.64817309</v>
      </c>
      <c r="BF187" s="44">
        <f t="shared" si="67"/>
        <v>-903567640.64817309</v>
      </c>
      <c r="BG187" s="20">
        <f t="shared" si="67"/>
        <v>-727550853.34205127</v>
      </c>
      <c r="BH187" s="26">
        <f t="shared" si="67"/>
        <v>-727550853.34205127</v>
      </c>
      <c r="BI187" s="24">
        <f t="shared" si="67"/>
        <v>-727550853.34205127</v>
      </c>
      <c r="BJ187" s="36">
        <f t="shared" si="67"/>
        <v>-727550853.34205127</v>
      </c>
      <c r="BK187" s="20">
        <f t="shared" si="67"/>
        <v>-727550853.34205127</v>
      </c>
      <c r="BL187" s="36">
        <f t="shared" si="67"/>
        <v>-727550853.34205127</v>
      </c>
      <c r="BM187" s="20">
        <f t="shared" si="67"/>
        <v>-727550853.34205127</v>
      </c>
      <c r="BN187" s="20">
        <f t="shared" si="67"/>
        <v>-727550853.34205127</v>
      </c>
      <c r="BO187" s="20">
        <f t="shared" si="67"/>
        <v>-727550853.34205127</v>
      </c>
      <c r="BP187" s="20">
        <f t="shared" ref="BP187:CS187" si="68">SUM(BP156:BP164)-BP161</f>
        <v>-727550853.34205127</v>
      </c>
      <c r="BQ187" s="36">
        <f t="shared" si="68"/>
        <v>-727550853.34205127</v>
      </c>
      <c r="BR187" s="20">
        <f t="shared" si="68"/>
        <v>-727550853.34205127</v>
      </c>
      <c r="BS187" s="36">
        <f t="shared" si="68"/>
        <v>-727550853.34205127</v>
      </c>
      <c r="BT187" s="20">
        <f t="shared" si="68"/>
        <v>-727550853.34205127</v>
      </c>
      <c r="BU187" s="20">
        <f t="shared" si="68"/>
        <v>-727550853.34205127</v>
      </c>
      <c r="BV187" s="20">
        <f t="shared" si="68"/>
        <v>-727550853.34205127</v>
      </c>
      <c r="BW187" s="20">
        <f t="shared" si="68"/>
        <v>-727550853.34205127</v>
      </c>
      <c r="BX187" s="20">
        <f t="shared" si="68"/>
        <v>-727550853.34205127</v>
      </c>
      <c r="BY187" s="20">
        <f t="shared" si="68"/>
        <v>-727550853.34205127</v>
      </c>
      <c r="BZ187" s="20">
        <f t="shared" si="68"/>
        <v>-727550853.34205127</v>
      </c>
      <c r="CA187" s="20">
        <f t="shared" si="68"/>
        <v>-727550853.34205127</v>
      </c>
      <c r="CB187" s="20">
        <f t="shared" si="68"/>
        <v>-727550853.34205127</v>
      </c>
      <c r="CC187" s="20">
        <f t="shared" si="68"/>
        <v>-727550853.34205127</v>
      </c>
      <c r="CD187" s="20">
        <f t="shared" si="68"/>
        <v>-727550853.34205127</v>
      </c>
      <c r="CE187" s="20">
        <f t="shared" si="68"/>
        <v>-727550853.34205127</v>
      </c>
      <c r="CF187" s="20">
        <f t="shared" si="68"/>
        <v>-727550853.34205127</v>
      </c>
      <c r="CG187" s="20">
        <f t="shared" si="68"/>
        <v>-727550853.34205127</v>
      </c>
      <c r="CH187" s="20">
        <f t="shared" si="68"/>
        <v>-727550853.34205127</v>
      </c>
      <c r="CI187" s="20">
        <f t="shared" si="68"/>
        <v>-727550853.34205127</v>
      </c>
      <c r="CJ187" s="36">
        <f t="shared" si="68"/>
        <v>-727550853.34205127</v>
      </c>
      <c r="CK187" s="20">
        <f t="shared" si="68"/>
        <v>-727550853.34205127</v>
      </c>
      <c r="CL187" s="36">
        <f t="shared" si="68"/>
        <v>-727550853.34205127</v>
      </c>
      <c r="CM187" s="20">
        <f t="shared" si="68"/>
        <v>-727550853.34205127</v>
      </c>
      <c r="CN187" s="20">
        <f t="shared" si="68"/>
        <v>-727550853.34205127</v>
      </c>
      <c r="CO187" s="20">
        <f t="shared" si="68"/>
        <v>-727550853.34205127</v>
      </c>
      <c r="CP187" s="20">
        <f t="shared" si="68"/>
        <v>-727550853.34205127</v>
      </c>
      <c r="CQ187" s="20">
        <f t="shared" si="68"/>
        <v>-727550853.34205127</v>
      </c>
      <c r="CR187" s="20">
        <f t="shared" si="68"/>
        <v>-727550853.34205127</v>
      </c>
      <c r="CS187" s="20">
        <f t="shared" si="68"/>
        <v>-727550853.34205127</v>
      </c>
    </row>
    <row r="188" spans="1:97" s="20" customFormat="1" x14ac:dyDescent="0.25">
      <c r="A188" s="21"/>
      <c r="C188" s="24"/>
      <c r="K188" s="26"/>
      <c r="L188" s="24"/>
      <c r="O188" s="24"/>
      <c r="R188" s="26"/>
      <c r="S188" s="26"/>
      <c r="T188" s="24"/>
      <c r="U188" s="40"/>
      <c r="V188" s="40"/>
      <c r="W188" s="40"/>
      <c r="X188" s="40"/>
      <c r="Y188" s="24"/>
      <c r="Z188" s="40"/>
      <c r="AA188" s="40"/>
      <c r="AB188" s="40"/>
      <c r="AC188" s="40"/>
      <c r="AD188" s="44"/>
      <c r="AJ188" s="24"/>
      <c r="AK188" s="40"/>
      <c r="AL188" s="40"/>
      <c r="AM188" s="40"/>
      <c r="AN188" s="40"/>
      <c r="AP188" s="24"/>
      <c r="AV188" s="24"/>
      <c r="BB188" s="24"/>
      <c r="BF188" s="44"/>
      <c r="BH188" s="26"/>
      <c r="BI188" s="24"/>
      <c r="BJ188" s="36"/>
      <c r="BL188" s="36"/>
      <c r="BQ188" s="36"/>
      <c r="BS188" s="36"/>
      <c r="CJ188" s="36"/>
      <c r="CL188" s="36"/>
    </row>
    <row r="189" spans="1:97" s="20" customFormat="1" x14ac:dyDescent="0.25">
      <c r="A189" s="21" t="s">
        <v>3</v>
      </c>
      <c r="C189" s="24">
        <f>(C168+C178)/(C173-C183)</f>
        <v>2.357458980355807</v>
      </c>
      <c r="D189" s="20">
        <f>(D168+D178)/(D173-D183)</f>
        <v>2.357458980355807</v>
      </c>
      <c r="E189" s="20">
        <f t="shared" ref="E189:BO189" si="69">(E168+E178)/(E173-E183)</f>
        <v>2.357458980355807</v>
      </c>
      <c r="F189" s="20">
        <f t="shared" si="69"/>
        <v>2.357458980355807</v>
      </c>
      <c r="G189" s="20">
        <f t="shared" si="69"/>
        <v>2.357458980355807</v>
      </c>
      <c r="H189" s="20">
        <f t="shared" si="69"/>
        <v>2.357458980355807</v>
      </c>
      <c r="I189" s="20">
        <f t="shared" si="69"/>
        <v>2.357458980355807</v>
      </c>
      <c r="J189" s="20">
        <f t="shared" si="69"/>
        <v>2.357458980355807</v>
      </c>
      <c r="K189" s="26">
        <f t="shared" si="69"/>
        <v>2.357458980355807</v>
      </c>
      <c r="L189" s="24">
        <f t="shared" si="69"/>
        <v>2.357458980355807</v>
      </c>
      <c r="M189" s="20">
        <f>(M168+M178)/(M173-M183)</f>
        <v>2.5026893935377368</v>
      </c>
      <c r="N189" s="20">
        <f t="shared" si="69"/>
        <v>2.2017318259517777</v>
      </c>
      <c r="O189" s="24">
        <f t="shared" si="69"/>
        <v>2.2196501615172557</v>
      </c>
      <c r="P189" s="20">
        <f t="shared" si="69"/>
        <v>2.4931480199343481</v>
      </c>
      <c r="Q189" s="20">
        <f>(Q168+Q178)/(Q173-Q183)</f>
        <v>3.012016311049952</v>
      </c>
      <c r="R189" s="26">
        <f t="shared" si="69"/>
        <v>3.1970763610537012</v>
      </c>
      <c r="S189" s="26">
        <f>(S168+S178)/(S173-S183)</f>
        <v>3.0913950350743145</v>
      </c>
      <c r="T189" s="24">
        <f t="shared" si="69"/>
        <v>3.1200655372668034</v>
      </c>
      <c r="U189" s="40">
        <f t="shared" si="69"/>
        <v>3.1057879955486647</v>
      </c>
      <c r="V189" s="40">
        <f t="shared" si="69"/>
        <v>3.1057879955486647</v>
      </c>
      <c r="W189" s="40">
        <f t="shared" si="69"/>
        <v>3.1057879955486647</v>
      </c>
      <c r="X189" s="40">
        <f t="shared" si="69"/>
        <v>3.1057879955486647</v>
      </c>
      <c r="Y189" s="24">
        <f t="shared" si="69"/>
        <v>3.1057879955486647</v>
      </c>
      <c r="Z189" s="40">
        <f t="shared" si="69"/>
        <v>3.1057879955486647</v>
      </c>
      <c r="AA189" s="40">
        <f t="shared" si="69"/>
        <v>3.1057879955486647</v>
      </c>
      <c r="AB189" s="40">
        <f t="shared" si="69"/>
        <v>3.1057879955486647</v>
      </c>
      <c r="AC189" s="40">
        <f t="shared" si="69"/>
        <v>3.1057879955486647</v>
      </c>
      <c r="AD189" s="44">
        <f>(AD168+AD178)/(AD173-AD183)</f>
        <v>3.1057879955486647</v>
      </c>
      <c r="AE189" s="20">
        <f t="shared" si="69"/>
        <v>3.1057879955486647</v>
      </c>
      <c r="AF189" s="20">
        <f t="shared" si="69"/>
        <v>2.8764439431574562</v>
      </c>
      <c r="AG189" s="20">
        <f t="shared" si="69"/>
        <v>2.8764439431574562</v>
      </c>
      <c r="AH189" s="20">
        <f t="shared" si="69"/>
        <v>2.8764439431574562</v>
      </c>
      <c r="AI189" s="20">
        <f t="shared" si="69"/>
        <v>2.8764439431574562</v>
      </c>
      <c r="AJ189" s="24">
        <f t="shared" si="69"/>
        <v>2.8764439431574562</v>
      </c>
      <c r="AK189" s="40">
        <f t="shared" si="69"/>
        <v>2.8764439431574562</v>
      </c>
      <c r="AL189" s="40">
        <f t="shared" si="69"/>
        <v>2.8764439431574562</v>
      </c>
      <c r="AM189" s="40">
        <f t="shared" si="69"/>
        <v>2.8764439431574562</v>
      </c>
      <c r="AN189" s="40">
        <f t="shared" si="69"/>
        <v>2.8764439431574562</v>
      </c>
      <c r="AO189" s="20">
        <f t="shared" si="69"/>
        <v>2.8764439431574562</v>
      </c>
      <c r="AP189" s="24">
        <f t="shared" si="69"/>
        <v>2.8764439431574562</v>
      </c>
      <c r="AQ189" s="20">
        <f t="shared" si="69"/>
        <v>2.8764439431574562</v>
      </c>
      <c r="AR189" s="20">
        <f t="shared" si="69"/>
        <v>2.8764439431574562</v>
      </c>
      <c r="AS189" s="20">
        <f t="shared" si="69"/>
        <v>2.8764439431574562</v>
      </c>
      <c r="AT189" s="20">
        <f t="shared" si="69"/>
        <v>2.8764439431574562</v>
      </c>
      <c r="AU189" s="20">
        <f t="shared" si="69"/>
        <v>2.9225122138521678</v>
      </c>
      <c r="AV189" s="24">
        <f t="shared" si="69"/>
        <v>2.8303756724627451</v>
      </c>
      <c r="AW189" s="20">
        <f t="shared" si="69"/>
        <v>2.9109951461784895</v>
      </c>
      <c r="AX189" s="20">
        <f t="shared" si="69"/>
        <v>2.8418927401364229</v>
      </c>
      <c r="AY189" s="20">
        <f t="shared" si="69"/>
        <v>2.8764439431574562</v>
      </c>
      <c r="AZ189" s="20">
        <f t="shared" si="69"/>
        <v>2.8764439431574562</v>
      </c>
      <c r="BA189" s="20">
        <f t="shared" si="69"/>
        <v>2.8764439431574562</v>
      </c>
      <c r="BB189" s="24">
        <f t="shared" si="69"/>
        <v>2.8764439431574562</v>
      </c>
      <c r="BC189" s="20">
        <f t="shared" si="69"/>
        <v>2.8764439431574562</v>
      </c>
      <c r="BD189" s="20">
        <f t="shared" si="69"/>
        <v>2.8764439431574562</v>
      </c>
      <c r="BE189" s="20">
        <f t="shared" si="69"/>
        <v>2.8764439431574562</v>
      </c>
      <c r="BF189" s="44">
        <f t="shared" si="69"/>
        <v>2.8764439431574562</v>
      </c>
      <c r="BG189" s="20">
        <f t="shared" si="69"/>
        <v>3.2329803154363503</v>
      </c>
      <c r="BH189" s="26">
        <f t="shared" si="69"/>
        <v>3.2329803154363503</v>
      </c>
      <c r="BI189" s="24">
        <f t="shared" si="69"/>
        <v>3.2329803154363503</v>
      </c>
      <c r="BJ189" s="36">
        <f>(BJ168+BJ178)/(BJ173-BJ183)</f>
        <v>3.1925190612682606</v>
      </c>
      <c r="BK189" s="20">
        <f t="shared" si="69"/>
        <v>3.2734415696044401</v>
      </c>
      <c r="BL189" s="36">
        <f t="shared" si="69"/>
        <v>3.1860734349158442</v>
      </c>
      <c r="BM189" s="20">
        <f t="shared" si="69"/>
        <v>3.2800773718160423</v>
      </c>
      <c r="BN189" s="20">
        <f t="shared" si="69"/>
        <v>3.1250836376547775</v>
      </c>
      <c r="BO189" s="20">
        <f t="shared" si="69"/>
        <v>3.3408769932179228</v>
      </c>
      <c r="BP189" s="20">
        <f t="shared" ref="BP189:CS189" si="70">(BP168+BP178)/(BP173-BP183)</f>
        <v>3.1925190612682606</v>
      </c>
      <c r="BQ189" s="36">
        <f t="shared" si="70"/>
        <v>3.2734415696044401</v>
      </c>
      <c r="BR189" s="20">
        <f t="shared" si="70"/>
        <v>3.1860734349158442</v>
      </c>
      <c r="BS189" s="36">
        <f t="shared" si="70"/>
        <v>3.2800773718160423</v>
      </c>
      <c r="BT189" s="20">
        <f t="shared" si="70"/>
        <v>3.2329803154363503</v>
      </c>
      <c r="BU189" s="20">
        <f t="shared" si="70"/>
        <v>3.2464674001590468</v>
      </c>
      <c r="BV189" s="20">
        <f t="shared" si="70"/>
        <v>3.2194932307136539</v>
      </c>
      <c r="BW189" s="20">
        <f t="shared" si="70"/>
        <v>3.2329803154363503</v>
      </c>
      <c r="BX189" s="20">
        <f t="shared" si="70"/>
        <v>3.2486581465419215</v>
      </c>
      <c r="BY189" s="20">
        <f t="shared" si="70"/>
        <v>3.217323614904926</v>
      </c>
      <c r="BZ189" s="20">
        <f t="shared" si="70"/>
        <v>3.2329803154363503</v>
      </c>
      <c r="CA189" s="20">
        <f t="shared" si="70"/>
        <v>3.2599544848817432</v>
      </c>
      <c r="CB189" s="20">
        <f t="shared" si="70"/>
        <v>3.206006145990957</v>
      </c>
      <c r="CC189" s="20">
        <f t="shared" si="70"/>
        <v>3.2329803154363503</v>
      </c>
      <c r="CD189" s="20">
        <f t="shared" si="70"/>
        <v>3.2643571510278488</v>
      </c>
      <c r="CE189" s="20">
        <f t="shared" si="70"/>
        <v>3.2016880022567493</v>
      </c>
      <c r="CF189" s="20">
        <f t="shared" si="70"/>
        <v>3.3139028237725299</v>
      </c>
      <c r="CG189" s="20">
        <f t="shared" si="70"/>
        <v>3.1520578071001708</v>
      </c>
      <c r="CH189" s="20">
        <f t="shared" si="70"/>
        <v>3.2464674001590468</v>
      </c>
      <c r="CI189" s="20">
        <f t="shared" si="70"/>
        <v>3.2194932307136539</v>
      </c>
      <c r="CJ189" s="36">
        <f t="shared" si="70"/>
        <v>3.2486581465419215</v>
      </c>
      <c r="CK189" s="20">
        <f t="shared" si="70"/>
        <v>3.217323614904926</v>
      </c>
      <c r="CL189" s="36">
        <f t="shared" si="70"/>
        <v>3.2599544848817432</v>
      </c>
      <c r="CM189" s="20">
        <f t="shared" si="70"/>
        <v>3.206006145990957</v>
      </c>
      <c r="CN189" s="20">
        <f t="shared" si="70"/>
        <v>3.2643571510278488</v>
      </c>
      <c r="CO189" s="20">
        <f t="shared" si="70"/>
        <v>3.2016880022567493</v>
      </c>
      <c r="CP189" s="20">
        <f t="shared" si="70"/>
        <v>3.2734415696044401</v>
      </c>
      <c r="CQ189" s="20">
        <f t="shared" si="70"/>
        <v>3.1925190612682606</v>
      </c>
      <c r="CR189" s="20">
        <f t="shared" si="70"/>
        <v>3.2800773718160423</v>
      </c>
      <c r="CS189" s="20">
        <f t="shared" si="70"/>
        <v>3.1860734349158442</v>
      </c>
    </row>
    <row r="190" spans="1:97" s="20" customFormat="1" x14ac:dyDescent="0.25">
      <c r="A190" s="21" t="s">
        <v>4</v>
      </c>
      <c r="C190" s="24">
        <f>(C168+C179)/(C174-(C184+C183))</f>
        <v>2.2238441710465171</v>
      </c>
      <c r="D190" s="20">
        <f>(D168+D179)/(D174-(D184+D183))</f>
        <v>2.2238441710465171</v>
      </c>
      <c r="E190" s="20">
        <f t="shared" ref="E190:BO190" si="71">(E168+E179)/(E174-(E184+E183))</f>
        <v>2.2238441710465171</v>
      </c>
      <c r="F190" s="20">
        <f t="shared" si="71"/>
        <v>2.2238441710465171</v>
      </c>
      <c r="G190" s="20">
        <f t="shared" si="71"/>
        <v>2.2238441710465171</v>
      </c>
      <c r="H190" s="20">
        <f t="shared" si="71"/>
        <v>2.2238441710465171</v>
      </c>
      <c r="I190" s="20">
        <f t="shared" si="71"/>
        <v>2.2238441710465171</v>
      </c>
      <c r="J190" s="20">
        <f t="shared" si="71"/>
        <v>2.2238441710465171</v>
      </c>
      <c r="K190" s="26">
        <f t="shared" si="71"/>
        <v>2.2238441710465171</v>
      </c>
      <c r="L190" s="24">
        <f t="shared" si="71"/>
        <v>2.2238441710465171</v>
      </c>
      <c r="M190" s="20">
        <f t="shared" si="71"/>
        <v>2.3509977788743948</v>
      </c>
      <c r="N190" s="20">
        <f t="shared" si="71"/>
        <v>2.0889703860661362</v>
      </c>
      <c r="O190" s="24">
        <f t="shared" si="71"/>
        <v>2.1066897318916382</v>
      </c>
      <c r="P190" s="20">
        <f>(P168+P179)/(P174-(P184+P183))</f>
        <v>2.3394744782218191</v>
      </c>
      <c r="Q190" s="20">
        <f t="shared" si="71"/>
        <v>2.5469313370721927</v>
      </c>
      <c r="R190" s="26">
        <f t="shared" si="71"/>
        <v>2.7140012275951926</v>
      </c>
      <c r="S190" s="26">
        <f t="shared" si="71"/>
        <v>2.617644253664027</v>
      </c>
      <c r="T190" s="24">
        <f t="shared" si="71"/>
        <v>2.6450887508002583</v>
      </c>
      <c r="U190" s="40">
        <f t="shared" si="71"/>
        <v>2.6314131654537349</v>
      </c>
      <c r="V190" s="40">
        <f t="shared" si="71"/>
        <v>2.6314131654537349</v>
      </c>
      <c r="W190" s="40">
        <f t="shared" si="71"/>
        <v>2.6314131654537349</v>
      </c>
      <c r="X190" s="40">
        <f t="shared" si="71"/>
        <v>2.6314131654537349</v>
      </c>
      <c r="Y190" s="24">
        <f t="shared" si="71"/>
        <v>2.6314131654537349</v>
      </c>
      <c r="Z190" s="40">
        <f t="shared" si="71"/>
        <v>2.6314131654537349</v>
      </c>
      <c r="AA190" s="40">
        <f t="shared" si="71"/>
        <v>2.6314131654537349</v>
      </c>
      <c r="AB190" s="40">
        <f t="shared" si="71"/>
        <v>2.6314131654537349</v>
      </c>
      <c r="AC190" s="40">
        <f t="shared" si="71"/>
        <v>2.6314131654537349</v>
      </c>
      <c r="AD190" s="44">
        <f>(AD168+AD179)/(AD174-(AD184+AD183))</f>
        <v>2.6314131654537349</v>
      </c>
      <c r="AE190" s="20">
        <f t="shared" si="71"/>
        <v>2.6314131654537349</v>
      </c>
      <c r="AF190" s="20">
        <f t="shared" si="71"/>
        <v>2.7839368426465714</v>
      </c>
      <c r="AG190" s="20">
        <f t="shared" si="71"/>
        <v>2.7839368426465714</v>
      </c>
      <c r="AH190" s="20">
        <f t="shared" si="71"/>
        <v>2.7839368426465714</v>
      </c>
      <c r="AI190" s="20">
        <f t="shared" si="71"/>
        <v>2.7839368426465714</v>
      </c>
      <c r="AJ190" s="24">
        <f t="shared" si="71"/>
        <v>2.7839368426465714</v>
      </c>
      <c r="AK190" s="40">
        <f t="shared" si="71"/>
        <v>2.7839368426465714</v>
      </c>
      <c r="AL190" s="40">
        <f t="shared" si="71"/>
        <v>2.7839368426465714</v>
      </c>
      <c r="AM190" s="40">
        <f t="shared" si="71"/>
        <v>2.7839368426465714</v>
      </c>
      <c r="AN190" s="40">
        <f t="shared" si="71"/>
        <v>2.7839368426465714</v>
      </c>
      <c r="AO190" s="20">
        <f t="shared" si="71"/>
        <v>2.7839368426465714</v>
      </c>
      <c r="AP190" s="24">
        <f t="shared" si="71"/>
        <v>2.7839368426465714</v>
      </c>
      <c r="AQ190" s="20">
        <f t="shared" si="71"/>
        <v>2.7839368426465714</v>
      </c>
      <c r="AR190" s="20">
        <f t="shared" si="71"/>
        <v>2.7839368426465714</v>
      </c>
      <c r="AS190" s="20">
        <f t="shared" si="71"/>
        <v>2.7839368426465714</v>
      </c>
      <c r="AT190" s="20">
        <f t="shared" si="71"/>
        <v>2.7839368426465714</v>
      </c>
      <c r="AU190" s="20">
        <f t="shared" si="71"/>
        <v>2.8270915632511899</v>
      </c>
      <c r="AV190" s="24">
        <f t="shared" si="71"/>
        <v>2.7407821220419528</v>
      </c>
      <c r="AW190" s="20">
        <f t="shared" si="71"/>
        <v>2.8163028831000352</v>
      </c>
      <c r="AX190" s="20">
        <f t="shared" si="71"/>
        <v>2.7515708021931071</v>
      </c>
      <c r="AY190" s="20">
        <f t="shared" si="71"/>
        <v>2.7839368426465714</v>
      </c>
      <c r="AZ190" s="20">
        <f t="shared" si="71"/>
        <v>2.7839368426465714</v>
      </c>
      <c r="BA190" s="20">
        <f t="shared" si="71"/>
        <v>2.7839368426465714</v>
      </c>
      <c r="BB190" s="24">
        <f t="shared" si="71"/>
        <v>2.7839368426465714</v>
      </c>
      <c r="BC190" s="20">
        <f t="shared" si="71"/>
        <v>2.7839368426465714</v>
      </c>
      <c r="BD190" s="20">
        <f t="shared" si="71"/>
        <v>2.7839368426465714</v>
      </c>
      <c r="BE190" s="20">
        <f t="shared" si="71"/>
        <v>2.7839368426465714</v>
      </c>
      <c r="BF190" s="44">
        <f t="shared" si="71"/>
        <v>2.7839368426465714</v>
      </c>
      <c r="BG190" s="20">
        <f t="shared" si="71"/>
        <v>2.6758648412152599</v>
      </c>
      <c r="BH190" s="26">
        <f t="shared" si="71"/>
        <v>2.6758648412152599</v>
      </c>
      <c r="BI190" s="24">
        <f t="shared" si="71"/>
        <v>2.6758648412152599</v>
      </c>
      <c r="BJ190" s="36">
        <f t="shared" si="71"/>
        <v>2.6432530024531982</v>
      </c>
      <c r="BK190" s="20">
        <f t="shared" si="71"/>
        <v>2.7084766799773212</v>
      </c>
      <c r="BL190" s="36">
        <f t="shared" si="71"/>
        <v>2.6389499519365129</v>
      </c>
      <c r="BM190" s="20">
        <f t="shared" si="71"/>
        <v>2.7129003133571588</v>
      </c>
      <c r="BN190" s="20">
        <f t="shared" si="71"/>
        <v>2.5888999378497619</v>
      </c>
      <c r="BO190" s="20">
        <f t="shared" si="71"/>
        <v>2.7628297445807575</v>
      </c>
      <c r="BP190" s="20">
        <f t="shared" ref="BP190:BR190" si="72">(BP168+BP179)/(BP174-(BP184+BP183))</f>
        <v>2.6432530024531982</v>
      </c>
      <c r="BQ190" s="36">
        <f t="shared" si="72"/>
        <v>2.7084766799773212</v>
      </c>
      <c r="BR190" s="20">
        <f t="shared" si="72"/>
        <v>2.6389499519365129</v>
      </c>
      <c r="BS190" s="36">
        <f t="shared" ref="BS190:CS190" si="73">(BS168+BS179)/(BS174-(BS184))</f>
        <v>2.7149314192617018</v>
      </c>
      <c r="BT190" s="20">
        <f t="shared" si="73"/>
        <v>2.6778649501090328</v>
      </c>
      <c r="BU190" s="20">
        <f t="shared" si="73"/>
        <v>2.6887436884063267</v>
      </c>
      <c r="BV190" s="20">
        <f t="shared" si="73"/>
        <v>2.6669862118117389</v>
      </c>
      <c r="BW190" s="20">
        <f t="shared" si="73"/>
        <v>2.6778649501090328</v>
      </c>
      <c r="BX190" s="20">
        <f t="shared" si="73"/>
        <v>2.6902069912975204</v>
      </c>
      <c r="BY190" s="20">
        <f t="shared" si="73"/>
        <v>2.6655363282049152</v>
      </c>
      <c r="BZ190" s="20">
        <f t="shared" si="73"/>
        <v>2.6778649501090328</v>
      </c>
      <c r="CA190" s="20">
        <f t="shared" si="73"/>
        <v>2.6996224267036206</v>
      </c>
      <c r="CB190" s="20">
        <f t="shared" si="73"/>
        <v>2.656107473514445</v>
      </c>
      <c r="CC190" s="20">
        <f t="shared" si="73"/>
        <v>2.6778649501090328</v>
      </c>
      <c r="CD190" s="20">
        <f t="shared" si="73"/>
        <v>2.7025624736919589</v>
      </c>
      <c r="CE190" s="20">
        <f t="shared" si="73"/>
        <v>2.6532211037112319</v>
      </c>
      <c r="CF190" s="20">
        <f t="shared" si="73"/>
        <v>2.7431373798927958</v>
      </c>
      <c r="CG190" s="20">
        <f t="shared" si="73"/>
        <v>2.6125925203252693</v>
      </c>
      <c r="CH190" s="20">
        <f t="shared" si="73"/>
        <v>2.6887436884063267</v>
      </c>
      <c r="CI190" s="20">
        <f t="shared" si="73"/>
        <v>2.6669862118117389</v>
      </c>
      <c r="CJ190" s="36">
        <f t="shared" si="73"/>
        <v>2.6902069912975204</v>
      </c>
      <c r="CK190" s="20">
        <f t="shared" si="73"/>
        <v>2.6655363282049152</v>
      </c>
      <c r="CL190" s="36">
        <f t="shared" si="73"/>
        <v>2.6996224267036206</v>
      </c>
      <c r="CM190" s="20">
        <f t="shared" si="73"/>
        <v>2.656107473514445</v>
      </c>
      <c r="CN190" s="20">
        <f t="shared" si="73"/>
        <v>2.7025624736919589</v>
      </c>
      <c r="CO190" s="20">
        <f t="shared" si="73"/>
        <v>2.6532211037112319</v>
      </c>
      <c r="CP190" s="20">
        <f t="shared" si="73"/>
        <v>2.7105011650009145</v>
      </c>
      <c r="CQ190" s="20">
        <f t="shared" si="73"/>
        <v>2.6452287352171511</v>
      </c>
      <c r="CR190" s="20">
        <f t="shared" si="73"/>
        <v>2.7149314192617018</v>
      </c>
      <c r="CS190" s="20">
        <f t="shared" si="73"/>
        <v>2.6409192548015605</v>
      </c>
    </row>
    <row r="191" spans="1:97" s="20" customFormat="1" x14ac:dyDescent="0.25">
      <c r="A191" s="21" t="s">
        <v>5</v>
      </c>
      <c r="C191" s="24">
        <f>(C168+C169+C180)/(C175-(C183+C184)-(C185*1.2))</f>
        <v>5.6703643621872883</v>
      </c>
      <c r="D191" s="20">
        <f>(D168+D169+D180)/(D175-(D183+D184)-(D185*1.2))</f>
        <v>4.6708790643104736</v>
      </c>
      <c r="E191" s="20">
        <f t="shared" ref="E191" si="74">(E168+E169+E180)/(E175-(E183+E184)-(E185*1.2))</f>
        <v>5.2264753034243503</v>
      </c>
      <c r="F191" s="20">
        <f t="shared" ref="F191:BO191" si="75">(F168+F169+F180)/(F175-(F183+F184)-(F185*1.2))</f>
        <v>5.1147681230734126</v>
      </c>
      <c r="G191" s="20">
        <f t="shared" si="75"/>
        <v>5.170621713248881</v>
      </c>
      <c r="H191" s="20">
        <f t="shared" si="75"/>
        <v>4.9589660031102616</v>
      </c>
      <c r="I191" s="20">
        <f t="shared" si="75"/>
        <v>5.3822774233875004</v>
      </c>
      <c r="J191" s="20">
        <f t="shared" si="75"/>
        <v>5.2205959781427218</v>
      </c>
      <c r="K191" s="26">
        <f t="shared" si="75"/>
        <v>5.2405856841002585</v>
      </c>
      <c r="L191" s="24">
        <f t="shared" si="75"/>
        <v>5.200606272185186</v>
      </c>
      <c r="M191" s="20">
        <f t="shared" si="75"/>
        <v>5.0631237942424425</v>
      </c>
      <c r="N191" s="20">
        <f t="shared" si="75"/>
        <v>5.2839623499213451</v>
      </c>
      <c r="O191" s="24">
        <f t="shared" si="75"/>
        <v>5.1952871711780793</v>
      </c>
      <c r="P191" s="20">
        <f>(P168+P169+P180)/(P175-(P183+P184)-(P185*1.2))</f>
        <v>5.1462445925918416</v>
      </c>
      <c r="Q191" s="20">
        <f t="shared" si="75"/>
        <v>8.6963132601235138</v>
      </c>
      <c r="R191" s="26">
        <f t="shared" si="75"/>
        <v>8.5420328774712129</v>
      </c>
      <c r="S191" s="26">
        <f t="shared" si="75"/>
        <v>8.6416022467599998</v>
      </c>
      <c r="T191" s="24">
        <f t="shared" si="75"/>
        <v>8.5953224493724605</v>
      </c>
      <c r="U191" s="40">
        <f t="shared" si="75"/>
        <v>8.6183920642101057</v>
      </c>
      <c r="V191" s="40">
        <f t="shared" si="75"/>
        <v>8.6183920642101057</v>
      </c>
      <c r="W191" s="40">
        <f t="shared" si="75"/>
        <v>8.6183920642101057</v>
      </c>
      <c r="X191" s="40">
        <f t="shared" si="75"/>
        <v>8.6183920642101057</v>
      </c>
      <c r="Y191" s="24">
        <f t="shared" si="75"/>
        <v>8.6183920642101057</v>
      </c>
      <c r="Z191" s="40">
        <f t="shared" si="75"/>
        <v>8.6183920642101057</v>
      </c>
      <c r="AA191" s="40">
        <f t="shared" si="75"/>
        <v>8.6183920642101057</v>
      </c>
      <c r="AB191" s="40">
        <f t="shared" si="75"/>
        <v>8.6183920642101057</v>
      </c>
      <c r="AC191" s="40">
        <f t="shared" si="75"/>
        <v>8.6183920642101057</v>
      </c>
      <c r="AD191" s="44">
        <f>(AD168+AD169+AD180)/(AD175-(AD183+AD184)-(AD185*1.2))</f>
        <v>8.6183920642101057</v>
      </c>
      <c r="AE191" s="20">
        <f t="shared" si="75"/>
        <v>8.6183920642101057</v>
      </c>
      <c r="AF191" s="20">
        <f t="shared" si="75"/>
        <v>8.3967799808419024</v>
      </c>
      <c r="AG191" s="20">
        <f t="shared" si="75"/>
        <v>8.3967799808419024</v>
      </c>
      <c r="AH191" s="20">
        <f t="shared" si="75"/>
        <v>8.3967799808419024</v>
      </c>
      <c r="AI191" s="20">
        <f t="shared" si="75"/>
        <v>8.3967799808419024</v>
      </c>
      <c r="AJ191" s="24">
        <f t="shared" si="75"/>
        <v>8.3967799808419024</v>
      </c>
      <c r="AK191" s="40">
        <f t="shared" si="75"/>
        <v>8.3967799808419024</v>
      </c>
      <c r="AL191" s="40">
        <f t="shared" si="75"/>
        <v>8.3967799808419024</v>
      </c>
      <c r="AM191" s="40">
        <f t="shared" si="75"/>
        <v>8.3967799808419024</v>
      </c>
      <c r="AN191" s="40">
        <f t="shared" si="75"/>
        <v>8.3967799808419024</v>
      </c>
      <c r="AO191" s="20">
        <f t="shared" si="75"/>
        <v>8.3967799808419024</v>
      </c>
      <c r="AP191" s="24">
        <f t="shared" si="75"/>
        <v>8.3967799808419024</v>
      </c>
      <c r="AQ191" s="20">
        <f t="shared" si="75"/>
        <v>8.3967799808419024</v>
      </c>
      <c r="AR191" s="20">
        <f t="shared" si="75"/>
        <v>8.3967799808419024</v>
      </c>
      <c r="AS191" s="20">
        <f t="shared" si="75"/>
        <v>8.3967799808419024</v>
      </c>
      <c r="AT191" s="20">
        <f t="shared" si="75"/>
        <v>8.3967799808419024</v>
      </c>
      <c r="AU191" s="20">
        <f t="shared" si="75"/>
        <v>8.3967799808419024</v>
      </c>
      <c r="AV191" s="24">
        <f t="shared" si="75"/>
        <v>8.3967799808419024</v>
      </c>
      <c r="AW191" s="20">
        <f t="shared" si="75"/>
        <v>8.4226493221303258</v>
      </c>
      <c r="AX191" s="20">
        <f t="shared" si="75"/>
        <v>8.3709106395534771</v>
      </c>
      <c r="AY191" s="20">
        <f t="shared" si="75"/>
        <v>8.3967799808419024</v>
      </c>
      <c r="AZ191" s="20">
        <f t="shared" si="75"/>
        <v>8.3967799808419024</v>
      </c>
      <c r="BA191" s="20">
        <f t="shared" si="75"/>
        <v>8.3967799808419024</v>
      </c>
      <c r="BB191" s="24">
        <f t="shared" si="75"/>
        <v>8.3967799808419024</v>
      </c>
      <c r="BC191" s="20">
        <f t="shared" si="75"/>
        <v>8.3967799808419024</v>
      </c>
      <c r="BD191" s="20">
        <f t="shared" si="75"/>
        <v>8.3967799808419024</v>
      </c>
      <c r="BE191" s="20">
        <f t="shared" si="75"/>
        <v>8.3967799808419024</v>
      </c>
      <c r="BF191" s="44">
        <f t="shared" si="75"/>
        <v>8.3967799808419024</v>
      </c>
      <c r="BG191" s="20">
        <f t="shared" si="75"/>
        <v>9.5284272885092367</v>
      </c>
      <c r="BH191" s="26">
        <f t="shared" si="75"/>
        <v>9.5284272885092367</v>
      </c>
      <c r="BI191" s="24">
        <f t="shared" si="75"/>
        <v>9.5284272885092367</v>
      </c>
      <c r="BJ191" s="36">
        <f>(BJ168+BJ169+BJ180)/(BJ175-(BJ183+BJ184)-(BJ185*1.2))</f>
        <v>9.4993090477003026</v>
      </c>
      <c r="BK191" s="20">
        <f t="shared" si="75"/>
        <v>9.5575455293181708</v>
      </c>
      <c r="BL191" s="36">
        <f t="shared" si="75"/>
        <v>9.4854989955031037</v>
      </c>
      <c r="BM191" s="20">
        <f t="shared" si="75"/>
        <v>9.5714807634065178</v>
      </c>
      <c r="BN191" s="20">
        <f t="shared" si="75"/>
        <v>9.4507786463520773</v>
      </c>
      <c r="BO191" s="20">
        <f t="shared" si="75"/>
        <v>9.6060759306663943</v>
      </c>
      <c r="BP191" s="20">
        <f t="shared" ref="BP191:CA191" si="76">(BP168+BP169+BP180)/(BP175-(BP183+BP184)-(BP185*1.2))</f>
        <v>9.4993090477003026</v>
      </c>
      <c r="BQ191" s="36">
        <f t="shared" si="76"/>
        <v>9.5575455293181708</v>
      </c>
      <c r="BR191" s="20">
        <f t="shared" si="76"/>
        <v>9.4854989955031037</v>
      </c>
      <c r="BS191" s="36">
        <f t="shared" si="76"/>
        <v>9.5714807634065178</v>
      </c>
      <c r="BT191" s="20">
        <f t="shared" si="76"/>
        <v>9.5284272885092367</v>
      </c>
      <c r="BU191" s="20">
        <f t="shared" si="76"/>
        <v>9.5381333687788814</v>
      </c>
      <c r="BV191" s="20">
        <f t="shared" si="76"/>
        <v>9.518721208239592</v>
      </c>
      <c r="BW191" s="20">
        <f t="shared" si="76"/>
        <v>9.5284272885092367</v>
      </c>
      <c r="BX191" s="20">
        <f t="shared" si="76"/>
        <v>9.5427645106956369</v>
      </c>
      <c r="BY191" s="20">
        <f t="shared" si="76"/>
        <v>9.5141039753956438</v>
      </c>
      <c r="BZ191" s="20">
        <f t="shared" si="76"/>
        <v>9.5284272885092367</v>
      </c>
      <c r="CA191" s="20">
        <f t="shared" si="76"/>
        <v>9.5478394490485261</v>
      </c>
      <c r="CB191" s="20">
        <f>(CB168+CB169+CB180)/(CB175-(CB183+CB184)-(CB185*1.2))</f>
        <v>9.5090151279699473</v>
      </c>
      <c r="CC191" s="20">
        <f t="shared" ref="CC191:CS191" si="77">(CC168+CC169+CC180)/(CC175-(CC183+CC184)-(CC185*1.2))</f>
        <v>9.5284272885092367</v>
      </c>
      <c r="CD191" s="20">
        <f t="shared" si="77"/>
        <v>9.5571156622249092</v>
      </c>
      <c r="CE191" s="20">
        <f t="shared" si="77"/>
        <v>9.4997945511241113</v>
      </c>
      <c r="CF191" s="20">
        <f t="shared" si="77"/>
        <v>9.5866637701271049</v>
      </c>
      <c r="CG191" s="20">
        <f t="shared" si="77"/>
        <v>9.4701908068913667</v>
      </c>
      <c r="CH191" s="20">
        <f t="shared" si="77"/>
        <v>9.5381333687788814</v>
      </c>
      <c r="CI191" s="20">
        <f t="shared" si="77"/>
        <v>9.518721208239592</v>
      </c>
      <c r="CJ191" s="36">
        <f t="shared" si="77"/>
        <v>9.5427645106956369</v>
      </c>
      <c r="CK191" s="20">
        <f t="shared" si="77"/>
        <v>9.5141039753956438</v>
      </c>
      <c r="CL191" s="36">
        <f t="shared" si="77"/>
        <v>9.5478394490485261</v>
      </c>
      <c r="CM191" s="20">
        <f t="shared" si="77"/>
        <v>9.5090151279699473</v>
      </c>
      <c r="CN191" s="20">
        <f t="shared" si="77"/>
        <v>9.5571156622249092</v>
      </c>
      <c r="CO191" s="20">
        <f t="shared" si="77"/>
        <v>9.4997945511241113</v>
      </c>
      <c r="CP191" s="20">
        <f t="shared" si="77"/>
        <v>9.5575455293181708</v>
      </c>
      <c r="CQ191" s="20">
        <f t="shared" si="77"/>
        <v>9.4993090477003026</v>
      </c>
      <c r="CR191" s="20">
        <f t="shared" si="77"/>
        <v>9.5714807634065178</v>
      </c>
      <c r="CS191" s="20">
        <f t="shared" si="77"/>
        <v>9.4854989955031037</v>
      </c>
    </row>
    <row r="192" spans="1:97" s="20" customFormat="1" x14ac:dyDescent="0.25">
      <c r="A192" s="21" t="s">
        <v>6</v>
      </c>
      <c r="C192" s="24">
        <f>(C168+C170+C181)/(C176-(C183+C184)-((C185+C186)*1.2))</f>
        <v>3.9913552450292054</v>
      </c>
      <c r="D192" s="20">
        <f>(D168+D170+D181)/(D176-(D183+D184)-((D185+D186)*1.2))</f>
        <v>3.4096898956597017</v>
      </c>
      <c r="E192" s="20">
        <f t="shared" ref="E192:BO192" si="78">(E168+E170+E181)/(E176-(E183+E184)-((E185+E186)*1.2))</f>
        <v>3.7373613758045221</v>
      </c>
      <c r="F192" s="20">
        <f t="shared" si="78"/>
        <v>3.663683764884385</v>
      </c>
      <c r="G192" s="20">
        <f t="shared" si="78"/>
        <v>3.7005225703444533</v>
      </c>
      <c r="H192" s="20">
        <f t="shared" si="78"/>
        <v>3.5686784244873659</v>
      </c>
      <c r="I192" s="20">
        <f t="shared" si="78"/>
        <v>3.8323667162015407</v>
      </c>
      <c r="J192" s="20">
        <f t="shared" si="78"/>
        <v>3.7296058378129286</v>
      </c>
      <c r="K192" s="26">
        <f t="shared" si="78"/>
        <v>3.7412391448003186</v>
      </c>
      <c r="L192" s="24">
        <f t="shared" si="78"/>
        <v>3.7179725308255387</v>
      </c>
      <c r="M192" s="20">
        <f t="shared" si="78"/>
        <v>3.6242021959871979</v>
      </c>
      <c r="N192" s="20">
        <f t="shared" si="78"/>
        <v>3.7814152129227723</v>
      </c>
      <c r="O192" s="24">
        <f t="shared" si="78"/>
        <v>3.7110353391290372</v>
      </c>
      <c r="P192" s="20">
        <f>(P168+P170+P181)/(P176-(P183+P184)-((P185+P186)*1.2))</f>
        <v>3.6900910187958957</v>
      </c>
      <c r="Q192" s="20">
        <f t="shared" si="78"/>
        <v>4.5217230093004463</v>
      </c>
      <c r="R192" s="26">
        <f t="shared" si="78"/>
        <v>4.4699323505712716</v>
      </c>
      <c r="S192" s="26">
        <f t="shared" si="78"/>
        <v>4.5042885280762155</v>
      </c>
      <c r="T192" s="24">
        <f t="shared" si="78"/>
        <v>4.4870258171879316</v>
      </c>
      <c r="U192" s="40">
        <f t="shared" si="78"/>
        <v>4.4956358603885889</v>
      </c>
      <c r="V192" s="40">
        <f t="shared" si="78"/>
        <v>4.4956358603885889</v>
      </c>
      <c r="W192" s="40">
        <f t="shared" si="78"/>
        <v>4.4956358603885889</v>
      </c>
      <c r="X192" s="40">
        <f t="shared" si="78"/>
        <v>4.4956358603885889</v>
      </c>
      <c r="Y192" s="24">
        <f t="shared" si="78"/>
        <v>4.4956358603885889</v>
      </c>
      <c r="Z192" s="40">
        <f t="shared" si="78"/>
        <v>4.4956358603885889</v>
      </c>
      <c r="AA192" s="40">
        <f t="shared" si="78"/>
        <v>4.4956358603885889</v>
      </c>
      <c r="AB192" s="40">
        <f t="shared" si="78"/>
        <v>4.4956358603885889</v>
      </c>
      <c r="AC192" s="40">
        <f t="shared" si="78"/>
        <v>4.4956358603885889</v>
      </c>
      <c r="AD192" s="44">
        <f>(AD168+AD170+AD181)/(AD176-(AD183+AD184)-((AD185+AD186)*1.2))</f>
        <v>4.4956358603885889</v>
      </c>
      <c r="AE192" s="20">
        <f t="shared" si="78"/>
        <v>4.4956358603885889</v>
      </c>
      <c r="AF192" s="20">
        <f t="shared" si="78"/>
        <v>4.5599304033286732</v>
      </c>
      <c r="AG192" s="20">
        <f t="shared" si="78"/>
        <v>4.5599304033286732</v>
      </c>
      <c r="AH192" s="20">
        <f t="shared" si="78"/>
        <v>4.5599304033286732</v>
      </c>
      <c r="AI192" s="20">
        <f t="shared" si="78"/>
        <v>4.5599304033286732</v>
      </c>
      <c r="AJ192" s="24">
        <f t="shared" si="78"/>
        <v>4.5599304033286732</v>
      </c>
      <c r="AK192" s="40">
        <f t="shared" si="78"/>
        <v>4.5599304033286732</v>
      </c>
      <c r="AL192" s="40">
        <f t="shared" si="78"/>
        <v>4.5599304033286732</v>
      </c>
      <c r="AM192" s="40">
        <f t="shared" si="78"/>
        <v>4.5599304033286732</v>
      </c>
      <c r="AN192" s="40">
        <f t="shared" si="78"/>
        <v>4.5599304033286732</v>
      </c>
      <c r="AO192" s="20">
        <f t="shared" si="78"/>
        <v>4.5599304033286732</v>
      </c>
      <c r="AP192" s="24">
        <f t="shared" si="78"/>
        <v>4.5599304033286732</v>
      </c>
      <c r="AQ192" s="20">
        <f t="shared" si="78"/>
        <v>4.5599304033286732</v>
      </c>
      <c r="AR192" s="20">
        <f t="shared" si="78"/>
        <v>4.5599304033286732</v>
      </c>
      <c r="AS192" s="20">
        <f t="shared" si="78"/>
        <v>4.5599304033286732</v>
      </c>
      <c r="AT192" s="20">
        <f t="shared" si="78"/>
        <v>4.5599304033286732</v>
      </c>
      <c r="AU192" s="20">
        <f t="shared" si="78"/>
        <v>4.5599304033286732</v>
      </c>
      <c r="AV192" s="24">
        <f t="shared" si="78"/>
        <v>4.5599304033286732</v>
      </c>
      <c r="AW192" s="20">
        <f t="shared" si="78"/>
        <v>4.5599304033286732</v>
      </c>
      <c r="AX192" s="20">
        <f t="shared" si="78"/>
        <v>4.5599304033286732</v>
      </c>
      <c r="AY192" s="20">
        <f t="shared" si="78"/>
        <v>4.5599304033286732</v>
      </c>
      <c r="AZ192" s="20">
        <f t="shared" si="78"/>
        <v>4.5599304033286732</v>
      </c>
      <c r="BA192" s="20">
        <f t="shared" si="78"/>
        <v>4.5599304033286732</v>
      </c>
      <c r="BB192" s="24">
        <f t="shared" si="78"/>
        <v>4.5599304033286732</v>
      </c>
      <c r="BC192" s="20">
        <f t="shared" si="78"/>
        <v>4.5599304033286732</v>
      </c>
      <c r="BD192" s="20">
        <f t="shared" si="78"/>
        <v>4.5599304033286732</v>
      </c>
      <c r="BE192" s="20">
        <f t="shared" si="78"/>
        <v>4.5599304033286732</v>
      </c>
      <c r="BF192" s="44">
        <f t="shared" si="78"/>
        <v>4.5599304033286732</v>
      </c>
      <c r="BG192" s="20">
        <f t="shared" si="78"/>
        <v>4.347141865771011</v>
      </c>
      <c r="BH192" s="26">
        <f t="shared" si="78"/>
        <v>4.347141865771011</v>
      </c>
      <c r="BI192" s="24">
        <f t="shared" si="78"/>
        <v>4.347141865771011</v>
      </c>
      <c r="BJ192" s="36">
        <f>(BJ168+BJ170+BJ181)/(BJ176-(BJ183+BJ184)-((BJ185+BJ186)*1.2))</f>
        <v>4.3349407539506153</v>
      </c>
      <c r="BK192" s="20">
        <f t="shared" si="78"/>
        <v>4.3593429775914068</v>
      </c>
      <c r="BL192" s="36">
        <f t="shared" si="78"/>
        <v>4.3296580897009624</v>
      </c>
      <c r="BM192" s="20">
        <f t="shared" si="78"/>
        <v>4.3646683582612162</v>
      </c>
      <c r="BN192" s="20">
        <f t="shared" si="78"/>
        <v>4.3146055675832882</v>
      </c>
      <c r="BO192" s="20">
        <f t="shared" si="78"/>
        <v>4.3796781639587339</v>
      </c>
      <c r="BP192" s="20">
        <f t="shared" ref="BP192:CS192" si="79">(BP168+BP170+BP181)/(BP176-(BP183+BP184)-((BP185+BP186)*1.2))</f>
        <v>4.3349407539506153</v>
      </c>
      <c r="BQ192" s="36">
        <f t="shared" si="79"/>
        <v>4.3593429775914068</v>
      </c>
      <c r="BR192" s="20">
        <f t="shared" si="79"/>
        <v>4.3296580897009624</v>
      </c>
      <c r="BS192" s="36">
        <f t="shared" si="79"/>
        <v>4.3646683582612162</v>
      </c>
      <c r="BT192" s="20">
        <f t="shared" si="79"/>
        <v>4.347141865771011</v>
      </c>
      <c r="BU192" s="20">
        <f t="shared" si="79"/>
        <v>4.3512089030444763</v>
      </c>
      <c r="BV192" s="20">
        <f t="shared" si="79"/>
        <v>4.3430748284975458</v>
      </c>
      <c r="BW192" s="20">
        <f t="shared" si="79"/>
        <v>4.347141865771011</v>
      </c>
      <c r="BX192" s="20">
        <f t="shared" si="79"/>
        <v>4.3529792759410642</v>
      </c>
      <c r="BY192" s="20">
        <f t="shared" si="79"/>
        <v>4.3413092018635844</v>
      </c>
      <c r="BZ192" s="20">
        <f t="shared" si="79"/>
        <v>4.347141865771011</v>
      </c>
      <c r="CA192" s="20">
        <f t="shared" si="79"/>
        <v>4.3552759403179415</v>
      </c>
      <c r="CB192" s="20">
        <f t="shared" si="79"/>
        <v>4.3390077912240805</v>
      </c>
      <c r="CC192" s="20">
        <f t="shared" si="79"/>
        <v>4.347141865771011</v>
      </c>
      <c r="CD192" s="20">
        <f t="shared" si="79"/>
        <v>4.358821438169425</v>
      </c>
      <c r="CE192" s="20">
        <f t="shared" si="79"/>
        <v>4.3354812784325212</v>
      </c>
      <c r="CF192" s="20">
        <f t="shared" si="79"/>
        <v>4.3715440894118034</v>
      </c>
      <c r="CG192" s="20">
        <f t="shared" si="79"/>
        <v>4.3227396421302187</v>
      </c>
      <c r="CH192" s="20">
        <f t="shared" si="79"/>
        <v>4.3512089030444763</v>
      </c>
      <c r="CI192" s="20">
        <f t="shared" si="79"/>
        <v>4.3430748284975458</v>
      </c>
      <c r="CJ192" s="36">
        <f t="shared" si="79"/>
        <v>4.3529792759410642</v>
      </c>
      <c r="CK192" s="20">
        <f t="shared" si="79"/>
        <v>4.3413092018635844</v>
      </c>
      <c r="CL192" s="36">
        <f t="shared" si="79"/>
        <v>4.3552759403179415</v>
      </c>
      <c r="CM192" s="20">
        <f t="shared" si="79"/>
        <v>4.3390077912240805</v>
      </c>
      <c r="CN192" s="20">
        <f t="shared" si="79"/>
        <v>4.358821438169425</v>
      </c>
      <c r="CO192" s="20">
        <f t="shared" si="79"/>
        <v>4.3354812784325212</v>
      </c>
      <c r="CP192" s="20">
        <f t="shared" si="79"/>
        <v>4.3593429775914068</v>
      </c>
      <c r="CQ192" s="20">
        <f t="shared" si="79"/>
        <v>4.3349407539506153</v>
      </c>
      <c r="CR192" s="20">
        <f t="shared" si="79"/>
        <v>4.3646683582612162</v>
      </c>
      <c r="CS192" s="20">
        <f t="shared" si="79"/>
        <v>4.3296580897009624</v>
      </c>
    </row>
    <row r="193" spans="1:97" s="20" customFormat="1" x14ac:dyDescent="0.25">
      <c r="A193" s="21" t="s">
        <v>7</v>
      </c>
      <c r="C193" s="24">
        <f>(C168+C171+C172+C182)/(C177-(C183+C184)-(C185+C186+C187)*1.2)</f>
        <v>2.5834031861298534</v>
      </c>
      <c r="D193" s="20">
        <f>(D168+D171+D172+D182)/(D177-(D183+D184)-(D185+D186+D187)*1.2)</f>
        <v>2.5744822032527197</v>
      </c>
      <c r="E193" s="20">
        <f t="shared" ref="E193:BO193" si="80">(E168+E171+E172+E182)/(E177-(E183+E184)-(E185+E186+E187)*1.2)</f>
        <v>2.5794444999781252</v>
      </c>
      <c r="F193" s="20">
        <f t="shared" si="80"/>
        <v>2.5784408894044475</v>
      </c>
      <c r="G193" s="20">
        <f t="shared" si="80"/>
        <v>2.660067882730218</v>
      </c>
      <c r="H193" s="20">
        <f t="shared" si="80"/>
        <v>2.6583951984407559</v>
      </c>
      <c r="I193" s="20">
        <f t="shared" si="80"/>
        <v>2.6617405670196805</v>
      </c>
      <c r="J193" s="20">
        <f t="shared" si="80"/>
        <v>2.6819242907791949</v>
      </c>
      <c r="K193" s="26">
        <f t="shared" si="80"/>
        <v>2.6821027104367379</v>
      </c>
      <c r="L193" s="24">
        <f t="shared" si="80"/>
        <v>2.6817458711216524</v>
      </c>
      <c r="M193" s="20">
        <f t="shared" si="80"/>
        <v>2.5444966248315057</v>
      </c>
      <c r="N193" s="20">
        <f t="shared" si="80"/>
        <v>2.6149602771403351</v>
      </c>
      <c r="O193" s="24">
        <f t="shared" si="80"/>
        <v>2.5848336421014078</v>
      </c>
      <c r="P193" s="20">
        <f>(P168+P171+P172+P182)/(P177-(P183+P184)-(P185+P186+P187)*1.2)</f>
        <v>2.573095379298445</v>
      </c>
      <c r="Q193" s="20">
        <f t="shared" si="80"/>
        <v>2.8613613144152845</v>
      </c>
      <c r="R193" s="26">
        <f t="shared" si="80"/>
        <v>2.8414933252363852</v>
      </c>
      <c r="S193" s="26">
        <f t="shared" si="80"/>
        <v>2.8545582721882523</v>
      </c>
      <c r="T193" s="24">
        <f t="shared" si="80"/>
        <v>2.8482006799453132</v>
      </c>
      <c r="U193" s="40">
        <f t="shared" si="80"/>
        <v>2.8513740181123697</v>
      </c>
      <c r="V193" s="40">
        <f t="shared" si="80"/>
        <v>2.8513740181123697</v>
      </c>
      <c r="W193" s="40">
        <f t="shared" si="80"/>
        <v>2.8563189432064302</v>
      </c>
      <c r="X193" s="40">
        <f t="shared" si="80"/>
        <v>2.8563189432064302</v>
      </c>
      <c r="Y193" s="24">
        <f t="shared" si="80"/>
        <v>2.8563189432064302</v>
      </c>
      <c r="Z193" s="40">
        <f t="shared" si="80"/>
        <v>2.8563189432064302</v>
      </c>
      <c r="AA193" s="40">
        <f t="shared" si="80"/>
        <v>2.8588686702080555</v>
      </c>
      <c r="AB193" s="40">
        <f t="shared" si="80"/>
        <v>2.8537692162048054</v>
      </c>
      <c r="AC193" s="40">
        <f t="shared" si="80"/>
        <v>2.8669878766450489</v>
      </c>
      <c r="AD193" s="44">
        <f>(AD168+AD171+AD172+AD182)/(AD177-(AD183+AD184)-(AD185+AD186+AD187)*1.2)</f>
        <v>2.8650369491665324</v>
      </c>
      <c r="AE193" s="20">
        <f t="shared" si="80"/>
        <v>2.8689388041235651</v>
      </c>
      <c r="AF193" s="20">
        <f t="shared" si="80"/>
        <v>2.7251769550867335</v>
      </c>
      <c r="AG193" s="20">
        <f t="shared" si="80"/>
        <v>2.7274081893595699</v>
      </c>
      <c r="AH193" s="20">
        <f t="shared" si="80"/>
        <v>2.7229457208138967</v>
      </c>
      <c r="AI193" s="20">
        <f t="shared" si="80"/>
        <v>2.714358849521465</v>
      </c>
      <c r="AJ193" s="24">
        <f t="shared" si="80"/>
        <v>2.7170915480626916</v>
      </c>
      <c r="AK193" s="40">
        <f t="shared" si="80"/>
        <v>2.7116261509802384</v>
      </c>
      <c r="AL193" s="40">
        <f t="shared" si="80"/>
        <v>2.7251769550867335</v>
      </c>
      <c r="AM193" s="40">
        <f t="shared" si="80"/>
        <v>2.7251769550867335</v>
      </c>
      <c r="AN193" s="40">
        <f t="shared" si="80"/>
        <v>2.7251769550867335</v>
      </c>
      <c r="AO193" s="20">
        <f t="shared" si="80"/>
        <v>2.7251769550867335</v>
      </c>
      <c r="AP193" s="24">
        <f t="shared" si="80"/>
        <v>2.730755040768825</v>
      </c>
      <c r="AQ193" s="20">
        <f t="shared" si="80"/>
        <v>2.719598869404642</v>
      </c>
      <c r="AR193" s="20">
        <f t="shared" si="80"/>
        <v>2.7035407439561965</v>
      </c>
      <c r="AS193" s="20">
        <f t="shared" si="80"/>
        <v>2.7018335116716776</v>
      </c>
      <c r="AT193" s="20">
        <f t="shared" si="80"/>
        <v>2.7052479762407158</v>
      </c>
      <c r="AU193" s="20">
        <f t="shared" si="80"/>
        <v>2.6898772512500635</v>
      </c>
      <c r="AV193" s="24">
        <f t="shared" si="80"/>
        <v>2.6898772512500635</v>
      </c>
      <c r="AW193" s="20">
        <f t="shared" si="80"/>
        <v>2.6898772512500635</v>
      </c>
      <c r="AX193" s="20">
        <f t="shared" si="80"/>
        <v>2.6898772512500635</v>
      </c>
      <c r="AY193" s="20">
        <f t="shared" si="80"/>
        <v>2.700695356815332</v>
      </c>
      <c r="AZ193" s="20">
        <f t="shared" si="80"/>
        <v>2.679059145684795</v>
      </c>
      <c r="BA193" s="20">
        <f t="shared" si="80"/>
        <v>2.6942044934761706</v>
      </c>
      <c r="BB193" s="24">
        <f t="shared" si="80"/>
        <v>2.6963681145892244</v>
      </c>
      <c r="BC193" s="20">
        <f t="shared" si="80"/>
        <v>2.6920408723631173</v>
      </c>
      <c r="BD193" s="20">
        <f t="shared" si="80"/>
        <v>2.6929841608791265</v>
      </c>
      <c r="BE193" s="20">
        <f t="shared" si="80"/>
        <v>2.7257765433738461</v>
      </c>
      <c r="BF193" s="44">
        <f t="shared" si="80"/>
        <v>2.6601917783844065</v>
      </c>
      <c r="BG193" s="20">
        <f t="shared" si="80"/>
        <v>2.8084001333666708</v>
      </c>
      <c r="BH193" s="26">
        <f t="shared" si="80"/>
        <v>2.8112338191968145</v>
      </c>
      <c r="BI193" s="24">
        <f t="shared" si="80"/>
        <v>2.8055664475365267</v>
      </c>
      <c r="BJ193" s="36">
        <f>(BJ168+BJ171+BJ172+BJ182)/(BJ177-(BJ183+BJ184)-(BJ185+BJ186+BJ187)*1.2)</f>
        <v>2.7974217917690618</v>
      </c>
      <c r="BK193" s="20">
        <f t="shared" si="80"/>
        <v>2.8023763599834166</v>
      </c>
      <c r="BL193" s="36">
        <f t="shared" si="80"/>
        <v>2.7941567351309002</v>
      </c>
      <c r="BM193" s="20">
        <f t="shared" si="80"/>
        <v>2.8056548525194409</v>
      </c>
      <c r="BN193" s="20">
        <f t="shared" si="80"/>
        <v>2.7932929849237662</v>
      </c>
      <c r="BO193" s="20">
        <f t="shared" si="80"/>
        <v>2.8065051668287122</v>
      </c>
      <c r="BP193" s="20">
        <f t="shared" ref="BP193:CS193" si="81">(BP168+BP171+BP172+BP182)/(BP177-(BP183+BP184)-(BP185+BP186+BP187)*1.2)</f>
        <v>2.7991570591743251</v>
      </c>
      <c r="BQ193" s="36">
        <f t="shared" si="81"/>
        <v>2.8006410925781529</v>
      </c>
      <c r="BR193" s="20">
        <f t="shared" si="81"/>
        <v>2.7958899771904053</v>
      </c>
      <c r="BS193" s="36">
        <f t="shared" si="81"/>
        <v>2.8039175550295257</v>
      </c>
      <c r="BT193" s="20">
        <f t="shared" si="81"/>
        <v>2.8055664475365267</v>
      </c>
      <c r="BU193" s="20">
        <f t="shared" si="81"/>
        <v>2.8060971550201792</v>
      </c>
      <c r="BV193" s="20">
        <f t="shared" si="81"/>
        <v>2.8050357400528747</v>
      </c>
      <c r="BW193" s="20">
        <f t="shared" si="81"/>
        <v>2.8055664475365267</v>
      </c>
      <c r="BX193" s="20">
        <f t="shared" si="81"/>
        <v>2.8071905840484308</v>
      </c>
      <c r="BY193" s="20">
        <f t="shared" si="81"/>
        <v>2.8039435757670774</v>
      </c>
      <c r="BZ193" s="20">
        <f t="shared" si="81"/>
        <v>2.808873388113561</v>
      </c>
      <c r="CA193" s="20">
        <f t="shared" si="81"/>
        <v>2.810524910851679</v>
      </c>
      <c r="CB193" s="20">
        <f t="shared" si="81"/>
        <v>2.8072218653754426</v>
      </c>
      <c r="CC193" s="20">
        <f t="shared" si="81"/>
        <v>2.808873388113561</v>
      </c>
      <c r="CD193" s="20">
        <f t="shared" si="81"/>
        <v>2.8127160733757597</v>
      </c>
      <c r="CE193" s="20">
        <f t="shared" si="81"/>
        <v>2.805036685249525</v>
      </c>
      <c r="CF193" s="20">
        <f t="shared" si="81"/>
        <v>2.8115843782685852</v>
      </c>
      <c r="CG193" s="20">
        <f t="shared" si="81"/>
        <v>2.7882137734838932</v>
      </c>
      <c r="CH193" s="20">
        <f t="shared" si="81"/>
        <v>2.8018466262749633</v>
      </c>
      <c r="CI193" s="20">
        <f t="shared" si="81"/>
        <v>2.7979515254775147</v>
      </c>
      <c r="CJ193" s="36">
        <f t="shared" si="81"/>
        <v>2.8029383990342911</v>
      </c>
      <c r="CK193" s="20">
        <f t="shared" si="81"/>
        <v>2.7968621194903167</v>
      </c>
      <c r="CL193" s="36">
        <f t="shared" si="81"/>
        <v>2.8037941766736876</v>
      </c>
      <c r="CM193" s="20">
        <f t="shared" si="81"/>
        <v>2.7960039750787904</v>
      </c>
      <c r="CN193" s="20">
        <f t="shared" si="81"/>
        <v>2.8059800917322741</v>
      </c>
      <c r="CO193" s="20">
        <f t="shared" si="81"/>
        <v>2.7938275271130322</v>
      </c>
      <c r="CP193" s="20">
        <f t="shared" si="81"/>
        <v>2.8057417270724119</v>
      </c>
      <c r="CQ193" s="20">
        <f t="shared" si="81"/>
        <v>2.7940564246800661</v>
      </c>
      <c r="CR193" s="20">
        <f t="shared" si="81"/>
        <v>2.8090241567423058</v>
      </c>
      <c r="CS193" s="20">
        <f t="shared" si="81"/>
        <v>2.7907952959851938</v>
      </c>
    </row>
    <row r="194" spans="1:97" s="20" customFormat="1" x14ac:dyDescent="0.25">
      <c r="C194" s="24"/>
      <c r="K194" s="26"/>
      <c r="L194" s="24"/>
      <c r="O194" s="24"/>
      <c r="R194" s="26"/>
      <c r="S194" s="26"/>
      <c r="T194" s="24"/>
      <c r="U194" s="40"/>
      <c r="V194" s="40"/>
      <c r="W194" s="40"/>
      <c r="X194" s="40"/>
      <c r="Y194" s="24"/>
      <c r="Z194" s="40"/>
      <c r="AA194" s="40"/>
      <c r="AB194" s="40"/>
      <c r="AC194" s="40"/>
      <c r="AD194" s="44"/>
      <c r="AJ194" s="24"/>
      <c r="AK194" s="40"/>
      <c r="AL194" s="40"/>
      <c r="AM194" s="40"/>
      <c r="AN194" s="40"/>
      <c r="AP194" s="24"/>
      <c r="AV194" s="24"/>
      <c r="BB194" s="24"/>
      <c r="BF194" s="44"/>
      <c r="BH194" s="26"/>
      <c r="BI194" s="24"/>
      <c r="BJ194" s="36"/>
      <c r="BL194" s="36"/>
      <c r="BQ194" s="36"/>
      <c r="BS194" s="36"/>
      <c r="CJ194" s="36"/>
      <c r="CL194" s="36"/>
    </row>
    <row r="195" spans="1:97" s="20" customFormat="1" x14ac:dyDescent="0.25">
      <c r="C195" s="24"/>
      <c r="K195" s="26"/>
      <c r="L195" s="24"/>
      <c r="O195" s="24"/>
      <c r="R195" s="26"/>
      <c r="S195" s="26"/>
      <c r="T195" s="24"/>
      <c r="U195" s="40"/>
      <c r="V195" s="40"/>
      <c r="W195" s="40"/>
      <c r="X195" s="40"/>
      <c r="Y195" s="24"/>
      <c r="Z195" s="40"/>
      <c r="AA195" s="40"/>
      <c r="AB195" s="40"/>
      <c r="AC195" s="40"/>
      <c r="AD195" s="44"/>
      <c r="AJ195" s="24"/>
      <c r="AK195" s="40"/>
      <c r="AL195" s="40"/>
      <c r="AM195" s="40"/>
      <c r="AN195" s="40"/>
      <c r="AP195" s="24"/>
      <c r="AV195" s="24"/>
      <c r="BB195" s="24"/>
      <c r="BF195" s="44"/>
      <c r="BH195" s="26"/>
      <c r="BI195" s="24"/>
      <c r="BJ195" s="36"/>
      <c r="BL195" s="36"/>
      <c r="BQ195" s="36"/>
      <c r="BS195" s="36"/>
      <c r="CJ195" s="36"/>
      <c r="CL195" s="36"/>
    </row>
    <row r="196" spans="1:97" s="20" customFormat="1" x14ac:dyDescent="0.25">
      <c r="A196" s="19" t="s">
        <v>188</v>
      </c>
      <c r="C196" s="24"/>
      <c r="K196" s="26"/>
      <c r="L196" s="24"/>
      <c r="O196" s="24"/>
      <c r="R196" s="26"/>
      <c r="S196" s="26"/>
      <c r="T196" s="24"/>
      <c r="U196" s="40"/>
      <c r="V196" s="40"/>
      <c r="W196" s="40"/>
      <c r="X196" s="40"/>
      <c r="Y196" s="24"/>
      <c r="Z196" s="40"/>
      <c r="AA196" s="40"/>
      <c r="AB196" s="40"/>
      <c r="AC196" s="40"/>
      <c r="AD196" s="44"/>
      <c r="AJ196" s="24"/>
      <c r="AK196" s="40"/>
      <c r="AL196" s="40"/>
      <c r="AM196" s="40"/>
      <c r="AN196" s="40"/>
      <c r="AP196" s="24"/>
      <c r="AV196" s="24"/>
      <c r="BB196" s="24"/>
      <c r="BF196" s="44"/>
      <c r="BH196" s="26"/>
      <c r="BI196" s="24"/>
      <c r="BJ196" s="36"/>
      <c r="BL196" s="36"/>
      <c r="BQ196" s="36"/>
      <c r="BS196" s="36"/>
      <c r="CJ196" s="36"/>
      <c r="CL196" s="36"/>
    </row>
    <row r="197" spans="1:97" s="20" customFormat="1" x14ac:dyDescent="0.25">
      <c r="A197" s="21" t="s">
        <v>3</v>
      </c>
      <c r="C197" s="25">
        <v>2.357458980355807</v>
      </c>
      <c r="D197">
        <v>2.357458980355807</v>
      </c>
      <c r="E197">
        <v>2.357458980355807</v>
      </c>
      <c r="F197">
        <v>2.357458980355807</v>
      </c>
      <c r="G197">
        <v>2.357458980355807</v>
      </c>
      <c r="H197">
        <v>2.357458980355807</v>
      </c>
      <c r="I197">
        <v>2.357458980355807</v>
      </c>
      <c r="J197">
        <v>2.357458980355807</v>
      </c>
      <c r="K197">
        <v>2.357458980355807</v>
      </c>
      <c r="L197" s="25">
        <v>2.357458980355807</v>
      </c>
      <c r="M197">
        <v>2.5026893935377368</v>
      </c>
      <c r="N197">
        <v>2.2017318259517782</v>
      </c>
      <c r="O197" s="25">
        <v>2.2196501615172561</v>
      </c>
      <c r="P197">
        <v>2.4931480199343481</v>
      </c>
      <c r="Q197">
        <v>3.012016311049952</v>
      </c>
      <c r="R197">
        <v>3.1970763610537012</v>
      </c>
      <c r="S197">
        <v>3.091395035074314</v>
      </c>
      <c r="T197" s="25">
        <v>3.1200655372668029</v>
      </c>
      <c r="U197" s="41">
        <v>3.1057879955486651</v>
      </c>
      <c r="V197" s="41">
        <v>3.1057879955486651</v>
      </c>
      <c r="W197" s="41">
        <v>3.1057879955486651</v>
      </c>
      <c r="X197" s="41">
        <v>3.1057879955486651</v>
      </c>
      <c r="Y197" s="25">
        <v>3.1057879955486651</v>
      </c>
      <c r="Z197" s="41">
        <v>3.1057879955486651</v>
      </c>
      <c r="AA197" s="41">
        <v>3.1057879955486651</v>
      </c>
      <c r="AB197" s="41">
        <v>3.1057879955486651</v>
      </c>
      <c r="AC197" s="41">
        <v>3.1057879955486651</v>
      </c>
      <c r="AD197" s="45">
        <v>3.1057879955486651</v>
      </c>
      <c r="AE197">
        <v>3.1057879955486651</v>
      </c>
      <c r="AF197">
        <v>2.8764439431574571</v>
      </c>
      <c r="AG197">
        <v>2.8764439431574571</v>
      </c>
      <c r="AH197">
        <v>2.8764439431574571</v>
      </c>
      <c r="AI197">
        <v>2.8764439431574571</v>
      </c>
      <c r="AJ197" s="25">
        <v>2.8764439431574571</v>
      </c>
      <c r="AK197" s="41">
        <v>2.8764439431574571</v>
      </c>
      <c r="AL197" s="41">
        <v>2.8764439431574571</v>
      </c>
      <c r="AM197" s="41">
        <v>2.8764439431574571</v>
      </c>
      <c r="AN197" s="41">
        <v>2.8764439431574571</v>
      </c>
      <c r="AO197">
        <v>2.8764439431574571</v>
      </c>
      <c r="AP197" s="25">
        <v>2.8764439431574571</v>
      </c>
      <c r="AQ197">
        <v>2.8764439431574571</v>
      </c>
      <c r="AR197">
        <v>2.8764439431574571</v>
      </c>
      <c r="AS197">
        <v>2.8764439431574571</v>
      </c>
      <c r="AT197">
        <v>2.8764439431574571</v>
      </c>
      <c r="AU197">
        <v>2.9225122138521682</v>
      </c>
      <c r="AV197" s="25">
        <v>2.830375672462746</v>
      </c>
      <c r="AW197">
        <v>2.91099514617849</v>
      </c>
      <c r="AX197">
        <v>2.8418927401364229</v>
      </c>
      <c r="AY197">
        <v>2.8764439431574571</v>
      </c>
      <c r="AZ197">
        <v>2.8764439431574571</v>
      </c>
      <c r="BA197">
        <v>2.8764439431574571</v>
      </c>
      <c r="BB197" s="25">
        <v>2.8764439431574571</v>
      </c>
      <c r="BC197">
        <v>2.8764439431574571</v>
      </c>
      <c r="BD197">
        <v>2.8764439431574571</v>
      </c>
      <c r="BE197">
        <v>2.8764439431574571</v>
      </c>
      <c r="BF197" s="45">
        <v>2.8764439431574571</v>
      </c>
      <c r="BG197">
        <v>3.2329803154363499</v>
      </c>
      <c r="BH197">
        <v>3.2329803154363499</v>
      </c>
      <c r="BI197" s="25">
        <v>3.2329803154363499</v>
      </c>
      <c r="BJ197" s="37">
        <v>3.192519061268261</v>
      </c>
      <c r="BK197">
        <v>3.2734415696044401</v>
      </c>
      <c r="BL197" s="37">
        <v>3.1860734349158442</v>
      </c>
      <c r="BM197">
        <v>3.2800773718160419</v>
      </c>
      <c r="BN197">
        <v>3.125083637654777</v>
      </c>
      <c r="BO197">
        <v>3.3408769932179232</v>
      </c>
      <c r="BP197">
        <v>3.192519061268261</v>
      </c>
      <c r="BQ197" s="37">
        <v>3.2734415696044401</v>
      </c>
      <c r="BR197">
        <v>3.1860734349158442</v>
      </c>
      <c r="BS197" s="37">
        <v>3.2800773718160419</v>
      </c>
      <c r="BT197">
        <v>3.2329803154363499</v>
      </c>
      <c r="BU197">
        <v>3.2464674001590468</v>
      </c>
      <c r="BV197">
        <v>3.2194932307136539</v>
      </c>
      <c r="BW197">
        <v>3.2329803154363499</v>
      </c>
      <c r="BX197">
        <v>3.248658146541922</v>
      </c>
      <c r="BY197">
        <v>3.217323614904926</v>
      </c>
      <c r="BZ197">
        <v>3.2329803154363499</v>
      </c>
      <c r="CA197">
        <v>3.2599544848817432</v>
      </c>
      <c r="CB197">
        <v>3.206006145990957</v>
      </c>
      <c r="CC197">
        <v>3.2329803154363499</v>
      </c>
      <c r="CD197">
        <v>3.2643571510278488</v>
      </c>
      <c r="CE197">
        <v>3.2016880022567489</v>
      </c>
      <c r="CF197">
        <v>3.3139028237725299</v>
      </c>
      <c r="CG197">
        <v>3.1520578071001708</v>
      </c>
      <c r="CH197">
        <v>3.2464674001590468</v>
      </c>
      <c r="CI197">
        <v>3.2194932307136539</v>
      </c>
      <c r="CJ197" s="37">
        <v>3.248658146541922</v>
      </c>
      <c r="CK197">
        <v>3.217323614904926</v>
      </c>
      <c r="CL197" s="37">
        <v>3.2599544848817432</v>
      </c>
      <c r="CM197">
        <v>3.206006145990957</v>
      </c>
      <c r="CN197">
        <v>3.2643571510278488</v>
      </c>
      <c r="CO197">
        <v>3.2016880022567489</v>
      </c>
      <c r="CP197">
        <v>3.2734415696044401</v>
      </c>
      <c r="CQ197">
        <v>3.192519061268261</v>
      </c>
      <c r="CR197">
        <v>3.2800773718160419</v>
      </c>
      <c r="CS197">
        <v>3.1860734349158442</v>
      </c>
    </row>
    <row r="198" spans="1:97" s="20" customFormat="1" x14ac:dyDescent="0.25">
      <c r="A198" s="21" t="s">
        <v>4</v>
      </c>
      <c r="C198" s="25">
        <v>2.2238441710465171</v>
      </c>
      <c r="D198">
        <v>2.2238441710465171</v>
      </c>
      <c r="E198">
        <v>2.2238441710465171</v>
      </c>
      <c r="F198">
        <v>2.2238441710465171</v>
      </c>
      <c r="G198">
        <v>2.2238441710465171</v>
      </c>
      <c r="H198">
        <v>2.2238441710465171</v>
      </c>
      <c r="I198">
        <v>2.2238441710465171</v>
      </c>
      <c r="J198">
        <v>2.2238441710465171</v>
      </c>
      <c r="K198">
        <v>2.2238441710465171</v>
      </c>
      <c r="L198" s="25">
        <v>2.2238441710465171</v>
      </c>
      <c r="M198">
        <v>2.3509977788743952</v>
      </c>
      <c r="N198">
        <v>2.0889703860661362</v>
      </c>
      <c r="O198" s="25">
        <v>2.1066897318916382</v>
      </c>
      <c r="P198">
        <v>2.3394744782218191</v>
      </c>
      <c r="Q198">
        <v>2.5469313370721931</v>
      </c>
      <c r="R198">
        <v>2.714001227595193</v>
      </c>
      <c r="S198">
        <v>2.617644253664027</v>
      </c>
      <c r="T198" s="25">
        <v>2.6450887508002578</v>
      </c>
      <c r="U198" s="41">
        <v>2.6314131654537349</v>
      </c>
      <c r="V198" s="41">
        <v>2.6314131654537349</v>
      </c>
      <c r="W198" s="41">
        <v>2.6314131654537349</v>
      </c>
      <c r="X198" s="41">
        <v>2.6314131654537349</v>
      </c>
      <c r="Y198" s="25">
        <v>2.6314131654537349</v>
      </c>
      <c r="Z198" s="41">
        <v>2.6314131654537349</v>
      </c>
      <c r="AA198" s="41">
        <v>2.6314131654537349</v>
      </c>
      <c r="AB198" s="41">
        <v>2.6314131654537349</v>
      </c>
      <c r="AC198" s="41">
        <v>2.6314131654537349</v>
      </c>
      <c r="AD198" s="45">
        <v>2.6314131654537301</v>
      </c>
      <c r="AE198">
        <v>2.6314131654537349</v>
      </c>
      <c r="AF198">
        <v>2.7839368426465718</v>
      </c>
      <c r="AG198">
        <v>2.7839368426465718</v>
      </c>
      <c r="AH198">
        <v>2.7839368426465718</v>
      </c>
      <c r="AI198">
        <v>2.7839368426465718</v>
      </c>
      <c r="AJ198" s="25">
        <v>2.7839368426465718</v>
      </c>
      <c r="AK198" s="41">
        <v>2.7839368426465718</v>
      </c>
      <c r="AL198" s="41">
        <v>2.7839368426465718</v>
      </c>
      <c r="AM198" s="41">
        <v>2.7839368426465718</v>
      </c>
      <c r="AN198" s="41">
        <v>2.7839368426465718</v>
      </c>
      <c r="AO198">
        <v>2.7839368426465718</v>
      </c>
      <c r="AP198" s="25">
        <v>2.7839368426465718</v>
      </c>
      <c r="AQ198">
        <v>2.7839368426465718</v>
      </c>
      <c r="AR198">
        <v>2.7839368426465718</v>
      </c>
      <c r="AS198">
        <v>2.7839368426465718</v>
      </c>
      <c r="AT198">
        <v>2.7839368426465718</v>
      </c>
      <c r="AU198">
        <v>2.8270915632511899</v>
      </c>
      <c r="AV198" s="25">
        <v>2.7407821220419528</v>
      </c>
      <c r="AW198">
        <v>2.8163028831000361</v>
      </c>
      <c r="AX198">
        <v>2.751570802193108</v>
      </c>
      <c r="AY198">
        <v>2.7839368426465718</v>
      </c>
      <c r="AZ198">
        <v>2.7839368426465718</v>
      </c>
      <c r="BA198">
        <v>2.7839368426465718</v>
      </c>
      <c r="BB198" s="25">
        <v>2.7839368426465718</v>
      </c>
      <c r="BC198">
        <v>2.7839368426465718</v>
      </c>
      <c r="BD198">
        <v>2.7839368426465718</v>
      </c>
      <c r="BE198">
        <v>2.7839368426465718</v>
      </c>
      <c r="BF198" s="45">
        <v>2.7839368426465718</v>
      </c>
      <c r="BG198">
        <v>2.675864841215259</v>
      </c>
      <c r="BH198">
        <v>2.675864841215259</v>
      </c>
      <c r="BI198" s="25">
        <v>2.675864841215259</v>
      </c>
      <c r="BJ198" s="37">
        <v>2.6432530024531982</v>
      </c>
      <c r="BK198">
        <v>2.7084766799773212</v>
      </c>
      <c r="BL198" s="37">
        <v>2.6389499519365121</v>
      </c>
      <c r="BM198">
        <v>2.7129003133571579</v>
      </c>
      <c r="BN198">
        <v>2.588899937849761</v>
      </c>
      <c r="BO198">
        <v>2.762829744580757</v>
      </c>
      <c r="BP198">
        <v>2.6432530024531982</v>
      </c>
      <c r="BQ198" s="37">
        <v>2.7084766799773212</v>
      </c>
      <c r="BR198">
        <v>2.6389499519365121</v>
      </c>
      <c r="BS198" s="37">
        <v>2.7129003133571579</v>
      </c>
      <c r="BT198">
        <v>2.675864841215259</v>
      </c>
      <c r="BU198">
        <v>2.6867354541359458</v>
      </c>
      <c r="BV198">
        <v>2.6649942282945722</v>
      </c>
      <c r="BW198">
        <v>2.675864841215259</v>
      </c>
      <c r="BX198">
        <v>2.688196571355042</v>
      </c>
      <c r="BY198">
        <v>2.6635465091397168</v>
      </c>
      <c r="BZ198">
        <v>2.675864841215259</v>
      </c>
      <c r="CA198">
        <v>2.697606067056634</v>
      </c>
      <c r="CB198">
        <v>2.654123615373885</v>
      </c>
      <c r="CC198">
        <v>2.675864841215259</v>
      </c>
      <c r="CD198">
        <v>2.7005417214296159</v>
      </c>
      <c r="CE198">
        <v>2.651241553305363</v>
      </c>
      <c r="CF198">
        <v>2.741088518739383</v>
      </c>
      <c r="CG198">
        <v>2.610641163691136</v>
      </c>
      <c r="CH198">
        <v>2.6867354541359458</v>
      </c>
      <c r="CI198">
        <v>2.6649942282945722</v>
      </c>
      <c r="CJ198" s="37">
        <v>2.688196571355042</v>
      </c>
      <c r="CK198">
        <v>2.6635465091397168</v>
      </c>
      <c r="CL198" s="37">
        <v>2.697606067056634</v>
      </c>
      <c r="CM198">
        <v>2.654123615373885</v>
      </c>
      <c r="CN198">
        <v>2.7005417214296159</v>
      </c>
      <c r="CO198">
        <v>2.651241553305363</v>
      </c>
      <c r="CP198">
        <v>2.7084766799773212</v>
      </c>
      <c r="CQ198">
        <v>2.6432530024531982</v>
      </c>
      <c r="CR198">
        <v>2.7129003133571579</v>
      </c>
      <c r="CS198">
        <v>2.6389499519365121</v>
      </c>
    </row>
    <row r="199" spans="1:97" s="20" customFormat="1" x14ac:dyDescent="0.25">
      <c r="A199" s="21" t="s">
        <v>5</v>
      </c>
      <c r="C199" s="25">
        <v>5.6703643621872892</v>
      </c>
      <c r="D199">
        <v>4.6708790643104754</v>
      </c>
      <c r="E199">
        <v>5.2264753034243503</v>
      </c>
      <c r="F199">
        <v>5.1147681230734134</v>
      </c>
      <c r="G199">
        <v>5.170621713248881</v>
      </c>
      <c r="H199">
        <v>4.9589660031102616</v>
      </c>
      <c r="I199">
        <v>5.3822774233875021</v>
      </c>
      <c r="J199">
        <v>5.2205959781427218</v>
      </c>
      <c r="K199">
        <v>5.2405856841002576</v>
      </c>
      <c r="L199" s="25">
        <v>5.200606272185186</v>
      </c>
      <c r="M199">
        <v>5.0631237942424434</v>
      </c>
      <c r="N199">
        <v>5.2839623499213451</v>
      </c>
      <c r="O199" s="25">
        <v>5.1952871711780793</v>
      </c>
      <c r="P199">
        <v>5.1462445925918399</v>
      </c>
      <c r="Q199">
        <v>8.6963132601235138</v>
      </c>
      <c r="R199">
        <v>8.5420328774712129</v>
      </c>
      <c r="S199">
        <v>8.6416022467599998</v>
      </c>
      <c r="T199" s="25">
        <v>8.5953224493724605</v>
      </c>
      <c r="U199" s="41">
        <v>8.6183920642101057</v>
      </c>
      <c r="V199" s="41">
        <v>8.6183920642101057</v>
      </c>
      <c r="W199" s="41">
        <v>8.6183920642101057</v>
      </c>
      <c r="X199" s="41">
        <v>8.6183920642101057</v>
      </c>
      <c r="Y199" s="25">
        <v>8.6183920642101057</v>
      </c>
      <c r="Z199" s="41">
        <v>8.6183920642101057</v>
      </c>
      <c r="AA199" s="41">
        <v>8.6183920642101057</v>
      </c>
      <c r="AB199" s="41">
        <v>8.6183920642101057</v>
      </c>
      <c r="AC199" s="41">
        <v>8.6183920642101057</v>
      </c>
      <c r="AD199" s="45">
        <v>8.6183920642101057</v>
      </c>
      <c r="AE199">
        <v>8.6183920642101057</v>
      </c>
      <c r="AF199">
        <v>8.3967799808419041</v>
      </c>
      <c r="AG199">
        <v>8.3967799808419041</v>
      </c>
      <c r="AH199">
        <v>8.3967799808419041</v>
      </c>
      <c r="AI199">
        <v>8.3967799808419041</v>
      </c>
      <c r="AJ199" s="25">
        <v>8.3967799808419041</v>
      </c>
      <c r="AK199" s="41">
        <v>8.3967799808419041</v>
      </c>
      <c r="AL199" s="41">
        <v>8.3967799808419041</v>
      </c>
      <c r="AM199" s="41">
        <v>8.3967799808419041</v>
      </c>
      <c r="AN199" s="41">
        <v>8.3967799808419041</v>
      </c>
      <c r="AO199">
        <v>8.3967799808419041</v>
      </c>
      <c r="AP199" s="25">
        <v>8.3967799808419041</v>
      </c>
      <c r="AQ199">
        <v>8.3967799808419041</v>
      </c>
      <c r="AR199">
        <v>8.3967799808419041</v>
      </c>
      <c r="AS199">
        <v>8.3967799808419041</v>
      </c>
      <c r="AT199">
        <v>8.3967799808419041</v>
      </c>
      <c r="AU199">
        <v>8.3967799808419041</v>
      </c>
      <c r="AV199" s="25">
        <v>8.3967799808419041</v>
      </c>
      <c r="AW199">
        <v>8.4226493221303276</v>
      </c>
      <c r="AX199">
        <v>8.3709106395534789</v>
      </c>
      <c r="AY199">
        <v>8.3967799808419041</v>
      </c>
      <c r="AZ199">
        <v>8.3967799808419041</v>
      </c>
      <c r="BA199">
        <v>8.3967799808419041</v>
      </c>
      <c r="BB199" s="25">
        <v>8.3967799808419041</v>
      </c>
      <c r="BC199">
        <v>8.3967799808419041</v>
      </c>
      <c r="BD199">
        <v>8.3967799808419041</v>
      </c>
      <c r="BE199">
        <v>8.3967799808419041</v>
      </c>
      <c r="BF199" s="45">
        <v>8.3967799808419041</v>
      </c>
      <c r="BG199">
        <v>9.5284272885092367</v>
      </c>
      <c r="BH199">
        <v>9.5284272885092367</v>
      </c>
      <c r="BI199" s="25">
        <v>9.5284272885092367</v>
      </c>
      <c r="BJ199" s="37">
        <v>9.4993090477003026</v>
      </c>
      <c r="BK199">
        <v>9.5575455293181708</v>
      </c>
      <c r="BL199" s="37">
        <v>9.4854989955031037</v>
      </c>
      <c r="BM199">
        <v>9.5714807634065178</v>
      </c>
      <c r="BN199">
        <v>9.4507786463520773</v>
      </c>
      <c r="BO199">
        <v>9.6060759306663943</v>
      </c>
      <c r="BP199">
        <v>9.4993090477003026</v>
      </c>
      <c r="BQ199" s="37">
        <v>9.5575455293181708</v>
      </c>
      <c r="BR199">
        <v>9.4854989955031037</v>
      </c>
      <c r="BS199" s="37">
        <v>9.5714807634065178</v>
      </c>
      <c r="BT199">
        <v>9.5284272885092367</v>
      </c>
      <c r="BU199">
        <v>9.5381333687788814</v>
      </c>
      <c r="BV199">
        <v>9.518721208239592</v>
      </c>
      <c r="BW199">
        <v>9.5284272885092367</v>
      </c>
      <c r="BX199">
        <v>9.5427645106956369</v>
      </c>
      <c r="BY199">
        <v>9.5141039753956438</v>
      </c>
      <c r="BZ199">
        <v>9.5284272885092367</v>
      </c>
      <c r="CA199">
        <v>9.5478394490485261</v>
      </c>
      <c r="CB199">
        <v>9.5090151279699473</v>
      </c>
      <c r="CC199">
        <v>9.5284272885092367</v>
      </c>
      <c r="CD199">
        <v>9.5571156622249092</v>
      </c>
      <c r="CE199">
        <v>9.4997945511241113</v>
      </c>
      <c r="CF199">
        <v>9.5866637701271049</v>
      </c>
      <c r="CG199">
        <v>9.4701908068913667</v>
      </c>
      <c r="CH199">
        <v>9.5381333687788814</v>
      </c>
      <c r="CI199">
        <v>9.518721208239592</v>
      </c>
      <c r="CJ199" s="37">
        <v>9.5427645106956369</v>
      </c>
      <c r="CK199">
        <v>9.5141039753956438</v>
      </c>
      <c r="CL199" s="37">
        <v>9.5478394490485261</v>
      </c>
      <c r="CM199">
        <v>9.5090151279699473</v>
      </c>
      <c r="CN199">
        <v>9.5571156622249092</v>
      </c>
      <c r="CO199">
        <v>9.4997945511241113</v>
      </c>
      <c r="CP199">
        <v>9.5575455293181708</v>
      </c>
      <c r="CQ199">
        <v>9.4993090477003026</v>
      </c>
      <c r="CR199">
        <v>9.5714807634065178</v>
      </c>
      <c r="CS199">
        <v>9.4854989955031037</v>
      </c>
    </row>
    <row r="200" spans="1:97" s="20" customFormat="1" x14ac:dyDescent="0.25">
      <c r="A200" s="21" t="s">
        <v>6</v>
      </c>
      <c r="C200" s="25">
        <v>3.9913552450292058</v>
      </c>
      <c r="D200">
        <v>3.4096898956597022</v>
      </c>
      <c r="E200">
        <v>3.737361375804523</v>
      </c>
      <c r="F200">
        <v>3.663683764884385</v>
      </c>
      <c r="G200">
        <v>3.7005225703444542</v>
      </c>
      <c r="H200">
        <v>3.5686784244873659</v>
      </c>
      <c r="I200">
        <v>3.832366716201542</v>
      </c>
      <c r="J200">
        <v>3.7296058378129291</v>
      </c>
      <c r="K200">
        <v>3.741239144800319</v>
      </c>
      <c r="L200" s="25">
        <v>3.7179725308255391</v>
      </c>
      <c r="M200">
        <v>3.6242021959871979</v>
      </c>
      <c r="N200">
        <v>3.7814152129227718</v>
      </c>
      <c r="O200" s="25">
        <v>3.711035339129038</v>
      </c>
      <c r="P200">
        <v>3.6900910187958962</v>
      </c>
      <c r="Q200">
        <v>4.5217230093004446</v>
      </c>
      <c r="R200">
        <v>4.4699323505712707</v>
      </c>
      <c r="S200">
        <v>4.5042885280762146</v>
      </c>
      <c r="T200" s="25">
        <v>4.4870258171879307</v>
      </c>
      <c r="U200" s="41">
        <v>4.495635860388588</v>
      </c>
      <c r="V200" s="41">
        <v>4.495635860388588</v>
      </c>
      <c r="W200" s="41">
        <v>4.495635860388588</v>
      </c>
      <c r="X200" s="41">
        <v>4.495635860388588</v>
      </c>
      <c r="Y200" s="25">
        <v>4.495635860388588</v>
      </c>
      <c r="Z200" s="41">
        <v>4.495635860388588</v>
      </c>
      <c r="AA200" s="41">
        <v>4.495635860388588</v>
      </c>
      <c r="AB200" s="41">
        <v>4.495635860388588</v>
      </c>
      <c r="AC200" s="41">
        <v>4.495635860388588</v>
      </c>
      <c r="AD200" s="45">
        <v>4.495635860388588</v>
      </c>
      <c r="AE200">
        <v>4.495635860388588</v>
      </c>
      <c r="AF200">
        <v>4.5599304033286741</v>
      </c>
      <c r="AG200">
        <v>4.5599304033286741</v>
      </c>
      <c r="AH200">
        <v>4.5599304033286741</v>
      </c>
      <c r="AI200">
        <v>4.5599304033286741</v>
      </c>
      <c r="AJ200" s="25">
        <v>4.5599304033286741</v>
      </c>
      <c r="AK200" s="41">
        <v>4.5599304033286741</v>
      </c>
      <c r="AL200" s="41">
        <v>4.5599304033286741</v>
      </c>
      <c r="AM200" s="41">
        <v>4.5599304033286741</v>
      </c>
      <c r="AN200" s="41">
        <v>4.5599304033286741</v>
      </c>
      <c r="AO200">
        <v>4.5599304033286741</v>
      </c>
      <c r="AP200" s="25">
        <v>4.5599304033286741</v>
      </c>
      <c r="AQ200">
        <v>4.5599304033286741</v>
      </c>
      <c r="AR200">
        <v>4.5599304033286741</v>
      </c>
      <c r="AS200">
        <v>4.5599304033286741</v>
      </c>
      <c r="AT200">
        <v>4.5599304033286741</v>
      </c>
      <c r="AU200">
        <v>4.5599304033286741</v>
      </c>
      <c r="AV200" s="25">
        <v>4.5599304033286741</v>
      </c>
      <c r="AW200">
        <v>4.5599304033286741</v>
      </c>
      <c r="AX200">
        <v>4.5599304033286741</v>
      </c>
      <c r="AY200">
        <v>4.5599304033286741</v>
      </c>
      <c r="AZ200">
        <v>4.5599304033286741</v>
      </c>
      <c r="BA200">
        <v>4.5599304033286741</v>
      </c>
      <c r="BB200" s="25">
        <v>4.5599304033286741</v>
      </c>
      <c r="BC200">
        <v>4.5599304033286741</v>
      </c>
      <c r="BD200">
        <v>4.5599304033286741</v>
      </c>
      <c r="BE200">
        <v>4.5599304033286741</v>
      </c>
      <c r="BF200" s="45">
        <v>4.5599304033286741</v>
      </c>
      <c r="BG200">
        <v>4.3471418657710119</v>
      </c>
      <c r="BH200">
        <v>4.3471418657710119</v>
      </c>
      <c r="BI200" s="25">
        <v>4.3471418657710119</v>
      </c>
      <c r="BJ200" s="37">
        <v>4.3349407539506162</v>
      </c>
      <c r="BK200">
        <v>4.3593429775914077</v>
      </c>
      <c r="BL200" s="37">
        <v>4.3296580897009633</v>
      </c>
      <c r="BM200">
        <v>4.3646683582612162</v>
      </c>
      <c r="BN200">
        <v>4.3146055675832891</v>
      </c>
      <c r="BO200">
        <v>4.3796781639587348</v>
      </c>
      <c r="BP200">
        <v>4.3349407539506162</v>
      </c>
      <c r="BQ200" s="37">
        <v>4.3593429775914077</v>
      </c>
      <c r="BR200">
        <v>4.3296580897009633</v>
      </c>
      <c r="BS200" s="37">
        <v>4.3646683582612162</v>
      </c>
      <c r="BT200">
        <v>4.3471418657710119</v>
      </c>
      <c r="BU200">
        <v>4.3512089030444772</v>
      </c>
      <c r="BV200">
        <v>4.3430748284975467</v>
      </c>
      <c r="BW200">
        <v>4.3471418657710119</v>
      </c>
      <c r="BX200">
        <v>4.3529792759410642</v>
      </c>
      <c r="BY200">
        <v>4.3413092018635844</v>
      </c>
      <c r="BZ200">
        <v>4.3471418657710119</v>
      </c>
      <c r="CA200">
        <v>4.3552759403179424</v>
      </c>
      <c r="CB200">
        <v>4.3390077912240814</v>
      </c>
      <c r="CC200">
        <v>4.3471418657710119</v>
      </c>
      <c r="CD200">
        <v>4.358821438169425</v>
      </c>
      <c r="CE200">
        <v>4.3354812784325221</v>
      </c>
      <c r="CF200">
        <v>4.3715440894118034</v>
      </c>
      <c r="CG200">
        <v>4.3227396421302204</v>
      </c>
      <c r="CH200">
        <v>4.3512089030444772</v>
      </c>
      <c r="CI200">
        <v>4.3430748284975467</v>
      </c>
      <c r="CJ200" s="37">
        <v>4.3529792759410642</v>
      </c>
      <c r="CK200">
        <v>4.3413092018635844</v>
      </c>
      <c r="CL200" s="37">
        <v>4.3552759403179424</v>
      </c>
      <c r="CM200">
        <v>4.3390077912240814</v>
      </c>
      <c r="CN200">
        <v>4.358821438169425</v>
      </c>
      <c r="CO200">
        <v>4.3354812784325221</v>
      </c>
      <c r="CP200">
        <v>4.3593429775914077</v>
      </c>
      <c r="CQ200">
        <v>4.3349407539506162</v>
      </c>
      <c r="CR200">
        <v>4.3646683582612162</v>
      </c>
      <c r="CS200">
        <v>4.3296580897009633</v>
      </c>
    </row>
    <row r="201" spans="1:97" s="20" customFormat="1" x14ac:dyDescent="0.25">
      <c r="A201" s="21" t="s">
        <v>7</v>
      </c>
      <c r="C201" s="25">
        <v>2.5834031861298539</v>
      </c>
      <c r="D201">
        <v>2.5744822032527201</v>
      </c>
      <c r="E201">
        <v>2.5794444999781261</v>
      </c>
      <c r="F201">
        <v>2.5784408894044479</v>
      </c>
      <c r="G201">
        <v>2.660067882730218</v>
      </c>
      <c r="H201">
        <v>2.6583951984407559</v>
      </c>
      <c r="I201">
        <v>2.661740567019681</v>
      </c>
      <c r="J201">
        <v>2.6819242907791949</v>
      </c>
      <c r="K201">
        <v>2.6821027104367379</v>
      </c>
      <c r="L201" s="25">
        <v>2.6817458711216529</v>
      </c>
      <c r="M201">
        <v>2.5444966248315062</v>
      </c>
      <c r="N201">
        <v>2.614960277140336</v>
      </c>
      <c r="O201" s="25">
        <v>2.5848336421014082</v>
      </c>
      <c r="P201">
        <v>2.573095379298445</v>
      </c>
      <c r="Q201">
        <v>2.8613613144152841</v>
      </c>
      <c r="R201">
        <v>2.8414933252363852</v>
      </c>
      <c r="S201">
        <v>2.8545582721882519</v>
      </c>
      <c r="T201" s="25">
        <v>2.8482006799453128</v>
      </c>
      <c r="U201" s="41">
        <v>2.8513740181123688</v>
      </c>
      <c r="V201" s="41">
        <v>2.8513740181123688</v>
      </c>
      <c r="W201" s="41">
        <v>2.8563189432064302</v>
      </c>
      <c r="X201" s="41">
        <v>2.8563189432064302</v>
      </c>
      <c r="Y201" s="25">
        <v>2.8563189432064302</v>
      </c>
      <c r="Z201" s="41">
        <v>2.8563189432064302</v>
      </c>
      <c r="AA201" s="41">
        <v>2.858868670208055</v>
      </c>
      <c r="AB201" s="41">
        <v>2.8537692162048049</v>
      </c>
      <c r="AC201" s="41">
        <v>2.8669878766450489</v>
      </c>
      <c r="AD201" s="45">
        <v>2.865036949166532</v>
      </c>
      <c r="AE201">
        <v>2.8689388041235651</v>
      </c>
      <c r="AF201">
        <v>2.725176955086734</v>
      </c>
      <c r="AG201">
        <v>2.7274081893595699</v>
      </c>
      <c r="AH201">
        <v>2.7229457208138972</v>
      </c>
      <c r="AI201">
        <v>2.714358849521465</v>
      </c>
      <c r="AJ201" s="25">
        <v>2.717091548062692</v>
      </c>
      <c r="AK201" s="41">
        <v>2.7116261509802388</v>
      </c>
      <c r="AL201" s="41">
        <v>2.725176955086734</v>
      </c>
      <c r="AM201" s="41">
        <v>2.725176955086734</v>
      </c>
      <c r="AN201" s="41">
        <v>2.725176955086734</v>
      </c>
      <c r="AO201">
        <v>2.725176955086734</v>
      </c>
      <c r="AP201" s="25">
        <v>2.730755040768825</v>
      </c>
      <c r="AQ201">
        <v>2.719598869404642</v>
      </c>
      <c r="AR201">
        <v>2.7035407439561969</v>
      </c>
      <c r="AS201">
        <v>2.7018335116716781</v>
      </c>
      <c r="AT201">
        <v>2.7052479762407158</v>
      </c>
      <c r="AU201">
        <v>2.6898772512500639</v>
      </c>
      <c r="AV201" s="25">
        <v>2.6898772512500639</v>
      </c>
      <c r="AW201">
        <v>2.6898772512500639</v>
      </c>
      <c r="AX201">
        <v>2.6898772512500639</v>
      </c>
      <c r="AY201">
        <v>2.700695356815332</v>
      </c>
      <c r="AZ201">
        <v>2.679059145684795</v>
      </c>
      <c r="BA201">
        <v>2.6942044934761711</v>
      </c>
      <c r="BB201" s="25">
        <v>2.6963681145892249</v>
      </c>
      <c r="BC201">
        <v>2.6920408723631168</v>
      </c>
      <c r="BD201">
        <v>2.692984160879127</v>
      </c>
      <c r="BE201">
        <v>2.725776543373847</v>
      </c>
      <c r="BF201" s="45">
        <v>2.6601917783844069</v>
      </c>
      <c r="BG201">
        <v>2.8084001333666708</v>
      </c>
      <c r="BH201">
        <v>2.8112338191968149</v>
      </c>
      <c r="BI201" s="25">
        <v>2.8055664475365272</v>
      </c>
      <c r="BJ201" s="37">
        <v>2.7974217917690618</v>
      </c>
      <c r="BK201">
        <v>2.8023763599834171</v>
      </c>
      <c r="BL201" s="37">
        <v>2.7941567351309011</v>
      </c>
      <c r="BM201">
        <v>2.8056548525194409</v>
      </c>
      <c r="BN201">
        <v>2.7932929849237671</v>
      </c>
      <c r="BO201">
        <v>2.8065051668287122</v>
      </c>
      <c r="BP201">
        <v>2.799157059174326</v>
      </c>
      <c r="BQ201" s="37">
        <v>2.8006410925781529</v>
      </c>
      <c r="BR201">
        <v>2.7958899771904062</v>
      </c>
      <c r="BS201" s="37">
        <v>2.8039175550295261</v>
      </c>
      <c r="BT201">
        <v>2.8055664475365272</v>
      </c>
      <c r="BU201">
        <v>2.8060971550201801</v>
      </c>
      <c r="BV201">
        <v>2.8050357400528751</v>
      </c>
      <c r="BW201">
        <v>2.8055664475365272</v>
      </c>
      <c r="BX201">
        <v>2.8071905840484308</v>
      </c>
      <c r="BY201">
        <v>2.8039435757670779</v>
      </c>
      <c r="BZ201">
        <v>2.808873388113561</v>
      </c>
      <c r="CA201">
        <v>2.810524910851679</v>
      </c>
      <c r="CB201">
        <v>2.807221865375443</v>
      </c>
      <c r="CC201">
        <v>2.808873388113561</v>
      </c>
      <c r="CD201">
        <v>2.8127160733757601</v>
      </c>
      <c r="CE201">
        <v>2.805036685249525</v>
      </c>
      <c r="CF201">
        <v>2.8115843782685861</v>
      </c>
      <c r="CG201">
        <v>2.7882137734838941</v>
      </c>
      <c r="CH201">
        <v>2.8018466262749642</v>
      </c>
      <c r="CI201">
        <v>2.7979515254775151</v>
      </c>
      <c r="CJ201" s="37">
        <v>2.802938399034292</v>
      </c>
      <c r="CK201">
        <v>2.7968621194903172</v>
      </c>
      <c r="CL201" s="37">
        <v>2.803794176673688</v>
      </c>
      <c r="CM201">
        <v>2.7960039750787908</v>
      </c>
      <c r="CN201">
        <v>2.805980091732275</v>
      </c>
      <c r="CO201">
        <v>2.7938275271130331</v>
      </c>
      <c r="CP201">
        <v>2.8057417270724119</v>
      </c>
      <c r="CQ201">
        <v>2.794056424680067</v>
      </c>
      <c r="CR201">
        <v>2.8090241567423062</v>
      </c>
      <c r="CS201">
        <v>2.7907952959851938</v>
      </c>
    </row>
    <row r="204" spans="1:97" x14ac:dyDescent="0.25">
      <c r="A204" s="17" t="s">
        <v>190</v>
      </c>
    </row>
    <row r="205" spans="1:97" x14ac:dyDescent="0.25">
      <c r="A205" s="18" t="s">
        <v>3</v>
      </c>
      <c r="C205" s="25" t="b">
        <f>IF(ABS(C189-C197)&lt;0.01, TRUE)</f>
        <v>1</v>
      </c>
      <c r="D205" t="b">
        <f t="shared" ref="D205:BO205" si="82">IF(ABS(D189-D197)&lt;0.01, TRUE)</f>
        <v>1</v>
      </c>
      <c r="E205" t="b">
        <f t="shared" si="82"/>
        <v>1</v>
      </c>
      <c r="F205" t="b">
        <f t="shared" si="82"/>
        <v>1</v>
      </c>
      <c r="G205" t="b">
        <f t="shared" si="82"/>
        <v>1</v>
      </c>
      <c r="H205" t="b">
        <f t="shared" si="82"/>
        <v>1</v>
      </c>
      <c r="I205" t="b">
        <f t="shared" si="82"/>
        <v>1</v>
      </c>
      <c r="J205" t="b">
        <f t="shared" si="82"/>
        <v>1</v>
      </c>
      <c r="K205" t="b">
        <f t="shared" si="82"/>
        <v>1</v>
      </c>
      <c r="L205" s="25" t="b">
        <f t="shared" si="82"/>
        <v>1</v>
      </c>
      <c r="M205" t="b">
        <f t="shared" si="82"/>
        <v>1</v>
      </c>
      <c r="N205" t="b">
        <f t="shared" si="82"/>
        <v>1</v>
      </c>
      <c r="O205" s="25" t="b">
        <f t="shared" si="82"/>
        <v>1</v>
      </c>
      <c r="P205" t="b">
        <f t="shared" si="82"/>
        <v>1</v>
      </c>
      <c r="Q205" t="b">
        <f t="shared" si="82"/>
        <v>1</v>
      </c>
      <c r="R205" t="b">
        <f t="shared" si="82"/>
        <v>1</v>
      </c>
      <c r="S205" t="b">
        <f t="shared" si="82"/>
        <v>1</v>
      </c>
      <c r="T205" s="25" t="b">
        <f>IF(ABS(T189-T197)&lt;0.01, TRUE)</f>
        <v>1</v>
      </c>
      <c r="U205" s="41" t="b">
        <f t="shared" si="82"/>
        <v>1</v>
      </c>
      <c r="V205" s="41" t="b">
        <f t="shared" si="82"/>
        <v>1</v>
      </c>
      <c r="W205" s="41" t="b">
        <f t="shared" si="82"/>
        <v>1</v>
      </c>
      <c r="X205" s="41" t="b">
        <f t="shared" si="82"/>
        <v>1</v>
      </c>
      <c r="Y205" s="25" t="b">
        <f>IF(ABS(Y189-Y197)&lt;0.01, TRUE)</f>
        <v>1</v>
      </c>
      <c r="Z205" s="41" t="b">
        <f t="shared" si="82"/>
        <v>1</v>
      </c>
      <c r="AA205" s="41" t="b">
        <f t="shared" si="82"/>
        <v>1</v>
      </c>
      <c r="AB205" s="41" t="b">
        <f t="shared" si="82"/>
        <v>1</v>
      </c>
      <c r="AC205" s="41" t="b">
        <f t="shared" si="82"/>
        <v>1</v>
      </c>
      <c r="AD205" s="45" t="b">
        <f t="shared" si="82"/>
        <v>1</v>
      </c>
      <c r="AE205" t="b">
        <f t="shared" si="82"/>
        <v>1</v>
      </c>
      <c r="AF205" t="b">
        <f t="shared" si="82"/>
        <v>1</v>
      </c>
      <c r="AG205" t="b">
        <f t="shared" si="82"/>
        <v>1</v>
      </c>
      <c r="AH205" t="b">
        <f t="shared" si="82"/>
        <v>1</v>
      </c>
      <c r="AI205" t="b">
        <f t="shared" si="82"/>
        <v>1</v>
      </c>
      <c r="AJ205" s="25" t="b">
        <f t="shared" si="82"/>
        <v>1</v>
      </c>
      <c r="AK205" s="41" t="b">
        <f t="shared" si="82"/>
        <v>1</v>
      </c>
      <c r="AL205" s="41" t="b">
        <f t="shared" si="82"/>
        <v>1</v>
      </c>
      <c r="AM205" s="41" t="b">
        <f t="shared" si="82"/>
        <v>1</v>
      </c>
      <c r="AN205" s="41" t="b">
        <f t="shared" si="82"/>
        <v>1</v>
      </c>
      <c r="AO205" t="b">
        <f t="shared" si="82"/>
        <v>1</v>
      </c>
      <c r="AP205" s="25" t="b">
        <f t="shared" si="82"/>
        <v>1</v>
      </c>
      <c r="AQ205" t="b">
        <f t="shared" si="82"/>
        <v>1</v>
      </c>
      <c r="AR205" t="b">
        <f t="shared" si="82"/>
        <v>1</v>
      </c>
      <c r="AS205" t="b">
        <f t="shared" si="82"/>
        <v>1</v>
      </c>
      <c r="AT205" t="b">
        <f t="shared" si="82"/>
        <v>1</v>
      </c>
      <c r="AU205" t="b">
        <f t="shared" si="82"/>
        <v>1</v>
      </c>
      <c r="AV205" s="25" t="b">
        <f t="shared" si="82"/>
        <v>1</v>
      </c>
      <c r="AW205" t="b">
        <f t="shared" si="82"/>
        <v>1</v>
      </c>
      <c r="AX205" t="b">
        <f t="shared" si="82"/>
        <v>1</v>
      </c>
      <c r="AY205" t="b">
        <f t="shared" si="82"/>
        <v>1</v>
      </c>
      <c r="AZ205" t="b">
        <f t="shared" si="82"/>
        <v>1</v>
      </c>
      <c r="BA205" t="b">
        <f t="shared" si="82"/>
        <v>1</v>
      </c>
      <c r="BB205" s="25" t="b">
        <f t="shared" si="82"/>
        <v>1</v>
      </c>
      <c r="BC205" t="b">
        <f t="shared" si="82"/>
        <v>1</v>
      </c>
      <c r="BD205" t="b">
        <f t="shared" si="82"/>
        <v>1</v>
      </c>
      <c r="BE205" t="b">
        <f t="shared" si="82"/>
        <v>1</v>
      </c>
      <c r="BF205" s="45" t="b">
        <f t="shared" si="82"/>
        <v>1</v>
      </c>
      <c r="BG205" t="b">
        <f t="shared" si="82"/>
        <v>1</v>
      </c>
      <c r="BH205" t="b">
        <f t="shared" si="82"/>
        <v>1</v>
      </c>
      <c r="BI205" s="25" t="b">
        <f>IF(ABS(BI189-BI197)&lt;0.01, TRUE)</f>
        <v>1</v>
      </c>
      <c r="BJ205" s="37" t="b">
        <f>IF(ABS(BJ189-BJ197)&lt;0.01, TRUE)</f>
        <v>1</v>
      </c>
      <c r="BK205" t="b">
        <f t="shared" si="82"/>
        <v>1</v>
      </c>
      <c r="BL205" s="37" t="b">
        <f>IF(ABS(BL189-BL197)&lt;0.01, TRUE)</f>
        <v>1</v>
      </c>
      <c r="BM205" t="b">
        <f t="shared" si="82"/>
        <v>1</v>
      </c>
      <c r="BN205" t="b">
        <f t="shared" si="82"/>
        <v>1</v>
      </c>
      <c r="BO205" t="b">
        <f t="shared" si="82"/>
        <v>1</v>
      </c>
      <c r="BP205" t="b">
        <f t="shared" ref="BP205:CS205" si="83">IF(ABS(BP189-BP197)&lt;0.01, TRUE)</f>
        <v>1</v>
      </c>
      <c r="BQ205" s="37" t="b">
        <f>IF(ABS(BQ189-BQ197)&lt;0.01, TRUE)</f>
        <v>1</v>
      </c>
      <c r="BR205" t="b">
        <f t="shared" si="83"/>
        <v>1</v>
      </c>
      <c r="BS205" s="37" t="b">
        <f>IF(ABS(BS189-BS197)&lt;0.01, TRUE)</f>
        <v>1</v>
      </c>
      <c r="BT205" t="b">
        <f t="shared" si="83"/>
        <v>1</v>
      </c>
      <c r="BU205" t="b">
        <f t="shared" si="83"/>
        <v>1</v>
      </c>
      <c r="BV205" t="b">
        <f t="shared" si="83"/>
        <v>1</v>
      </c>
      <c r="BW205" t="b">
        <f t="shared" si="83"/>
        <v>1</v>
      </c>
      <c r="BX205" t="b">
        <f t="shared" si="83"/>
        <v>1</v>
      </c>
      <c r="BY205" t="b">
        <f t="shared" si="83"/>
        <v>1</v>
      </c>
      <c r="BZ205" t="b">
        <f t="shared" si="83"/>
        <v>1</v>
      </c>
      <c r="CA205" t="b">
        <f t="shared" si="83"/>
        <v>1</v>
      </c>
      <c r="CB205" t="b">
        <f t="shared" si="83"/>
        <v>1</v>
      </c>
      <c r="CC205" t="b">
        <f t="shared" si="83"/>
        <v>1</v>
      </c>
      <c r="CD205" t="b">
        <f t="shared" si="83"/>
        <v>1</v>
      </c>
      <c r="CE205" t="b">
        <f t="shared" si="83"/>
        <v>1</v>
      </c>
      <c r="CF205" t="b">
        <f t="shared" si="83"/>
        <v>1</v>
      </c>
      <c r="CG205" t="b">
        <f t="shared" si="83"/>
        <v>1</v>
      </c>
      <c r="CH205" t="b">
        <f t="shared" si="83"/>
        <v>1</v>
      </c>
      <c r="CI205" t="b">
        <f t="shared" si="83"/>
        <v>1</v>
      </c>
      <c r="CJ205" s="37" t="b">
        <f>IF(ABS(CJ189-CJ197)&lt;0.01, TRUE)</f>
        <v>1</v>
      </c>
      <c r="CK205" t="b">
        <f t="shared" si="83"/>
        <v>1</v>
      </c>
      <c r="CL205" s="37" t="b">
        <f>IF(ABS(CL189-CL197)&lt;0.01, TRUE)</f>
        <v>1</v>
      </c>
      <c r="CM205" t="b">
        <f t="shared" si="83"/>
        <v>1</v>
      </c>
      <c r="CN205" t="b">
        <f t="shared" si="83"/>
        <v>1</v>
      </c>
      <c r="CO205" t="b">
        <f t="shared" si="83"/>
        <v>1</v>
      </c>
      <c r="CP205" t="b">
        <f t="shared" si="83"/>
        <v>1</v>
      </c>
      <c r="CQ205" t="b">
        <f t="shared" si="83"/>
        <v>1</v>
      </c>
      <c r="CR205" t="b">
        <f t="shared" si="83"/>
        <v>1</v>
      </c>
      <c r="CS205" t="b">
        <f t="shared" si="83"/>
        <v>1</v>
      </c>
    </row>
    <row r="206" spans="1:97" x14ac:dyDescent="0.25">
      <c r="A206" s="18" t="s">
        <v>4</v>
      </c>
      <c r="C206" s="25" t="b">
        <f>IF(ABS(C190-C198)&lt;0.01,TRUE)</f>
        <v>1</v>
      </c>
      <c r="D206" t="b">
        <f t="shared" ref="D206:BO206" si="84">IF(ABS(D190-D198)&lt;0.01,TRUE)</f>
        <v>1</v>
      </c>
      <c r="E206" t="b">
        <f t="shared" si="84"/>
        <v>1</v>
      </c>
      <c r="F206" t="b">
        <f t="shared" si="84"/>
        <v>1</v>
      </c>
      <c r="G206" t="b">
        <f t="shared" si="84"/>
        <v>1</v>
      </c>
      <c r="H206" t="b">
        <f t="shared" si="84"/>
        <v>1</v>
      </c>
      <c r="I206" t="b">
        <f t="shared" si="84"/>
        <v>1</v>
      </c>
      <c r="J206" t="b">
        <f t="shared" si="84"/>
        <v>1</v>
      </c>
      <c r="K206" t="b">
        <f t="shared" si="84"/>
        <v>1</v>
      </c>
      <c r="L206" s="25" t="b">
        <f t="shared" si="84"/>
        <v>1</v>
      </c>
      <c r="M206" t="b">
        <f t="shared" si="84"/>
        <v>1</v>
      </c>
      <c r="N206" t="b">
        <f t="shared" si="84"/>
        <v>1</v>
      </c>
      <c r="O206" s="25" t="b">
        <f t="shared" si="84"/>
        <v>1</v>
      </c>
      <c r="P206" t="b">
        <f t="shared" si="84"/>
        <v>1</v>
      </c>
      <c r="Q206" t="b">
        <f t="shared" si="84"/>
        <v>1</v>
      </c>
      <c r="R206" t="b">
        <f t="shared" si="84"/>
        <v>1</v>
      </c>
      <c r="S206" t="b">
        <f t="shared" si="84"/>
        <v>1</v>
      </c>
      <c r="T206" s="25" t="b">
        <f t="shared" si="84"/>
        <v>1</v>
      </c>
      <c r="U206" s="41" t="b">
        <f t="shared" si="84"/>
        <v>1</v>
      </c>
      <c r="V206" s="41" t="b">
        <f t="shared" si="84"/>
        <v>1</v>
      </c>
      <c r="W206" s="41" t="b">
        <f t="shared" si="84"/>
        <v>1</v>
      </c>
      <c r="X206" s="41" t="b">
        <f t="shared" si="84"/>
        <v>1</v>
      </c>
      <c r="Y206" s="25" t="b">
        <f t="shared" si="84"/>
        <v>1</v>
      </c>
      <c r="Z206" s="41" t="b">
        <f t="shared" si="84"/>
        <v>1</v>
      </c>
      <c r="AA206" s="41" t="b">
        <f t="shared" si="84"/>
        <v>1</v>
      </c>
      <c r="AB206" s="41" t="b">
        <f t="shared" si="84"/>
        <v>1</v>
      </c>
      <c r="AC206" s="41" t="b">
        <f t="shared" si="84"/>
        <v>1</v>
      </c>
      <c r="AD206" s="45" t="b">
        <f t="shared" si="84"/>
        <v>1</v>
      </c>
      <c r="AE206" t="b">
        <f t="shared" si="84"/>
        <v>1</v>
      </c>
      <c r="AF206" t="b">
        <f t="shared" si="84"/>
        <v>1</v>
      </c>
      <c r="AG206" t="b">
        <f t="shared" si="84"/>
        <v>1</v>
      </c>
      <c r="AH206" t="b">
        <f t="shared" si="84"/>
        <v>1</v>
      </c>
      <c r="AI206" t="b">
        <f t="shared" si="84"/>
        <v>1</v>
      </c>
      <c r="AJ206" s="25" t="b">
        <f t="shared" si="84"/>
        <v>1</v>
      </c>
      <c r="AK206" s="41" t="b">
        <f t="shared" si="84"/>
        <v>1</v>
      </c>
      <c r="AL206" s="41" t="b">
        <f t="shared" si="84"/>
        <v>1</v>
      </c>
      <c r="AM206" s="41" t="b">
        <f t="shared" si="84"/>
        <v>1</v>
      </c>
      <c r="AN206" s="41" t="b">
        <f t="shared" si="84"/>
        <v>1</v>
      </c>
      <c r="AO206" t="b">
        <f t="shared" si="84"/>
        <v>1</v>
      </c>
      <c r="AP206" s="25" t="b">
        <f t="shared" si="84"/>
        <v>1</v>
      </c>
      <c r="AQ206" t="b">
        <f t="shared" si="84"/>
        <v>1</v>
      </c>
      <c r="AR206" t="b">
        <f t="shared" si="84"/>
        <v>1</v>
      </c>
      <c r="AS206" t="b">
        <f t="shared" si="84"/>
        <v>1</v>
      </c>
      <c r="AT206" t="b">
        <f t="shared" si="84"/>
        <v>1</v>
      </c>
      <c r="AU206" t="b">
        <f t="shared" si="84"/>
        <v>1</v>
      </c>
      <c r="AV206" s="25" t="b">
        <f t="shared" si="84"/>
        <v>1</v>
      </c>
      <c r="AW206" t="b">
        <f t="shared" si="84"/>
        <v>1</v>
      </c>
      <c r="AX206" t="b">
        <f t="shared" si="84"/>
        <v>1</v>
      </c>
      <c r="AY206" t="b">
        <f t="shared" si="84"/>
        <v>1</v>
      </c>
      <c r="AZ206" t="b">
        <f t="shared" si="84"/>
        <v>1</v>
      </c>
      <c r="BA206" t="b">
        <f t="shared" si="84"/>
        <v>1</v>
      </c>
      <c r="BB206" s="25" t="b">
        <f t="shared" si="84"/>
        <v>1</v>
      </c>
      <c r="BC206" t="b">
        <f t="shared" si="84"/>
        <v>1</v>
      </c>
      <c r="BD206" t="b">
        <f t="shared" si="84"/>
        <v>1</v>
      </c>
      <c r="BE206" t="b">
        <f t="shared" si="84"/>
        <v>1</v>
      </c>
      <c r="BF206" s="45" t="b">
        <f t="shared" si="84"/>
        <v>1</v>
      </c>
      <c r="BG206" t="b">
        <f t="shared" si="84"/>
        <v>1</v>
      </c>
      <c r="BH206" t="b">
        <f t="shared" si="84"/>
        <v>1</v>
      </c>
      <c r="BI206" s="25" t="b">
        <f t="shared" si="84"/>
        <v>1</v>
      </c>
      <c r="BJ206" s="37" t="b">
        <f t="shared" si="84"/>
        <v>1</v>
      </c>
      <c r="BK206" t="b">
        <f t="shared" si="84"/>
        <v>1</v>
      </c>
      <c r="BL206" s="37" t="b">
        <f t="shared" si="84"/>
        <v>1</v>
      </c>
      <c r="BM206" t="b">
        <f t="shared" si="84"/>
        <v>1</v>
      </c>
      <c r="BN206" t="b">
        <f t="shared" si="84"/>
        <v>1</v>
      </c>
      <c r="BO206" t="b">
        <f t="shared" si="84"/>
        <v>1</v>
      </c>
      <c r="BP206" t="b">
        <f t="shared" ref="BP206:CS206" si="85">IF(ABS(BP190-BP198)&lt;0.01,TRUE)</f>
        <v>1</v>
      </c>
      <c r="BQ206" s="37" t="b">
        <f t="shared" si="85"/>
        <v>1</v>
      </c>
      <c r="BR206" t="b">
        <f t="shared" si="85"/>
        <v>1</v>
      </c>
      <c r="BS206" s="37" t="b">
        <f t="shared" si="85"/>
        <v>1</v>
      </c>
      <c r="BT206" t="b">
        <f t="shared" si="85"/>
        <v>1</v>
      </c>
      <c r="BU206" t="b">
        <f t="shared" si="85"/>
        <v>1</v>
      </c>
      <c r="BV206" t="b">
        <f t="shared" si="85"/>
        <v>1</v>
      </c>
      <c r="BW206" t="b">
        <f t="shared" si="85"/>
        <v>1</v>
      </c>
      <c r="BX206" t="b">
        <f t="shared" si="85"/>
        <v>1</v>
      </c>
      <c r="BY206" t="b">
        <f t="shared" si="85"/>
        <v>1</v>
      </c>
      <c r="BZ206" t="b">
        <f t="shared" si="85"/>
        <v>1</v>
      </c>
      <c r="CA206" t="b">
        <f t="shared" si="85"/>
        <v>1</v>
      </c>
      <c r="CB206" t="b">
        <f t="shared" si="85"/>
        <v>1</v>
      </c>
      <c r="CC206" t="b">
        <f t="shared" si="85"/>
        <v>1</v>
      </c>
      <c r="CD206" t="b">
        <f t="shared" si="85"/>
        <v>1</v>
      </c>
      <c r="CE206" t="b">
        <f t="shared" si="85"/>
        <v>1</v>
      </c>
      <c r="CF206" t="b">
        <f t="shared" si="85"/>
        <v>1</v>
      </c>
      <c r="CG206" t="b">
        <f t="shared" si="85"/>
        <v>1</v>
      </c>
      <c r="CH206" t="b">
        <f t="shared" si="85"/>
        <v>1</v>
      </c>
      <c r="CI206" t="b">
        <f t="shared" si="85"/>
        <v>1</v>
      </c>
      <c r="CJ206" s="37" t="b">
        <f t="shared" si="85"/>
        <v>1</v>
      </c>
      <c r="CK206" t="b">
        <f t="shared" si="85"/>
        <v>1</v>
      </c>
      <c r="CL206" s="37" t="b">
        <f t="shared" si="85"/>
        <v>1</v>
      </c>
      <c r="CM206" t="b">
        <f t="shared" si="85"/>
        <v>1</v>
      </c>
      <c r="CN206" t="b">
        <f t="shared" si="85"/>
        <v>1</v>
      </c>
      <c r="CO206" t="b">
        <f t="shared" si="85"/>
        <v>1</v>
      </c>
      <c r="CP206" t="b">
        <f t="shared" si="85"/>
        <v>1</v>
      </c>
      <c r="CQ206" t="b">
        <f t="shared" si="85"/>
        <v>1</v>
      </c>
      <c r="CR206" t="b">
        <f t="shared" si="85"/>
        <v>1</v>
      </c>
      <c r="CS206" t="b">
        <f t="shared" si="85"/>
        <v>1</v>
      </c>
    </row>
    <row r="207" spans="1:97" x14ac:dyDescent="0.25">
      <c r="A207" s="18" t="s">
        <v>5</v>
      </c>
      <c r="C207" s="25" t="b">
        <f>IF(ABS(C191-C199)&lt;0.01,TRUE)</f>
        <v>1</v>
      </c>
      <c r="D207" t="b">
        <f t="shared" ref="D207:BO207" si="86">IF(ABS(D191-D199)&lt;0.01,TRUE)</f>
        <v>1</v>
      </c>
      <c r="E207" t="b">
        <f t="shared" si="86"/>
        <v>1</v>
      </c>
      <c r="F207" t="b">
        <f t="shared" si="86"/>
        <v>1</v>
      </c>
      <c r="G207" t="b">
        <f t="shared" si="86"/>
        <v>1</v>
      </c>
      <c r="H207" t="b">
        <f t="shared" si="86"/>
        <v>1</v>
      </c>
      <c r="I207" t="b">
        <f t="shared" si="86"/>
        <v>1</v>
      </c>
      <c r="J207" t="b">
        <f t="shared" si="86"/>
        <v>1</v>
      </c>
      <c r="K207" t="b">
        <f t="shared" si="86"/>
        <v>1</v>
      </c>
      <c r="L207" s="25" t="b">
        <f t="shared" si="86"/>
        <v>1</v>
      </c>
      <c r="M207" t="b">
        <f t="shared" si="86"/>
        <v>1</v>
      </c>
      <c r="N207" t="b">
        <f t="shared" si="86"/>
        <v>1</v>
      </c>
      <c r="O207" s="25" t="b">
        <f t="shared" si="86"/>
        <v>1</v>
      </c>
      <c r="P207" t="b">
        <f t="shared" si="86"/>
        <v>1</v>
      </c>
      <c r="Q207" t="b">
        <f t="shared" si="86"/>
        <v>1</v>
      </c>
      <c r="R207" t="b">
        <f t="shared" si="86"/>
        <v>1</v>
      </c>
      <c r="S207" t="b">
        <f t="shared" si="86"/>
        <v>1</v>
      </c>
      <c r="T207" s="25" t="b">
        <f t="shared" si="86"/>
        <v>1</v>
      </c>
      <c r="U207" s="41" t="b">
        <f t="shared" si="86"/>
        <v>1</v>
      </c>
      <c r="V207" s="41" t="b">
        <f t="shared" si="86"/>
        <v>1</v>
      </c>
      <c r="W207" s="41" t="b">
        <f t="shared" si="86"/>
        <v>1</v>
      </c>
      <c r="X207" s="41" t="b">
        <f t="shared" si="86"/>
        <v>1</v>
      </c>
      <c r="Y207" s="25" t="b">
        <f t="shared" si="86"/>
        <v>1</v>
      </c>
      <c r="Z207" s="41" t="b">
        <f t="shared" si="86"/>
        <v>1</v>
      </c>
      <c r="AA207" s="41" t="b">
        <f t="shared" si="86"/>
        <v>1</v>
      </c>
      <c r="AB207" s="41" t="b">
        <f t="shared" si="86"/>
        <v>1</v>
      </c>
      <c r="AC207" s="41" t="b">
        <f t="shared" si="86"/>
        <v>1</v>
      </c>
      <c r="AD207" s="45" t="b">
        <f t="shared" si="86"/>
        <v>1</v>
      </c>
      <c r="AE207" t="b">
        <f t="shared" si="86"/>
        <v>1</v>
      </c>
      <c r="AF207" t="b">
        <f t="shared" si="86"/>
        <v>1</v>
      </c>
      <c r="AG207" t="b">
        <f t="shared" si="86"/>
        <v>1</v>
      </c>
      <c r="AH207" t="b">
        <f t="shared" si="86"/>
        <v>1</v>
      </c>
      <c r="AI207" t="b">
        <f t="shared" si="86"/>
        <v>1</v>
      </c>
      <c r="AJ207" s="25" t="b">
        <f t="shared" si="86"/>
        <v>1</v>
      </c>
      <c r="AK207" s="41" t="b">
        <f t="shared" si="86"/>
        <v>1</v>
      </c>
      <c r="AL207" s="41" t="b">
        <f t="shared" si="86"/>
        <v>1</v>
      </c>
      <c r="AM207" s="41" t="b">
        <f t="shared" si="86"/>
        <v>1</v>
      </c>
      <c r="AN207" s="41" t="b">
        <f t="shared" si="86"/>
        <v>1</v>
      </c>
      <c r="AO207" t="b">
        <f t="shared" si="86"/>
        <v>1</v>
      </c>
      <c r="AP207" s="25" t="b">
        <f t="shared" si="86"/>
        <v>1</v>
      </c>
      <c r="AQ207" t="b">
        <f t="shared" si="86"/>
        <v>1</v>
      </c>
      <c r="AR207" t="b">
        <f t="shared" si="86"/>
        <v>1</v>
      </c>
      <c r="AS207" t="b">
        <f t="shared" si="86"/>
        <v>1</v>
      </c>
      <c r="AT207" t="b">
        <f t="shared" si="86"/>
        <v>1</v>
      </c>
      <c r="AU207" t="b">
        <f t="shared" si="86"/>
        <v>1</v>
      </c>
      <c r="AV207" s="25" t="b">
        <f t="shared" si="86"/>
        <v>1</v>
      </c>
      <c r="AW207" t="b">
        <f t="shared" si="86"/>
        <v>1</v>
      </c>
      <c r="AX207" t="b">
        <f t="shared" si="86"/>
        <v>1</v>
      </c>
      <c r="AY207" t="b">
        <f t="shared" si="86"/>
        <v>1</v>
      </c>
      <c r="AZ207" t="b">
        <f t="shared" si="86"/>
        <v>1</v>
      </c>
      <c r="BA207" t="b">
        <f t="shared" si="86"/>
        <v>1</v>
      </c>
      <c r="BB207" s="25" t="b">
        <f t="shared" si="86"/>
        <v>1</v>
      </c>
      <c r="BC207" t="b">
        <f t="shared" si="86"/>
        <v>1</v>
      </c>
      <c r="BD207" t="b">
        <f t="shared" si="86"/>
        <v>1</v>
      </c>
      <c r="BE207" t="b">
        <f t="shared" si="86"/>
        <v>1</v>
      </c>
      <c r="BF207" s="45" t="b">
        <f t="shared" si="86"/>
        <v>1</v>
      </c>
      <c r="BG207" t="b">
        <f t="shared" si="86"/>
        <v>1</v>
      </c>
      <c r="BH207" t="b">
        <f t="shared" si="86"/>
        <v>1</v>
      </c>
      <c r="BI207" s="25" t="b">
        <f t="shared" si="86"/>
        <v>1</v>
      </c>
      <c r="BJ207" s="37" t="b">
        <f t="shared" si="86"/>
        <v>1</v>
      </c>
      <c r="BK207" t="b">
        <f t="shared" si="86"/>
        <v>1</v>
      </c>
      <c r="BL207" s="37" t="b">
        <f t="shared" si="86"/>
        <v>1</v>
      </c>
      <c r="BM207" t="b">
        <f t="shared" si="86"/>
        <v>1</v>
      </c>
      <c r="BN207" t="b">
        <f t="shared" si="86"/>
        <v>1</v>
      </c>
      <c r="BO207" t="b">
        <f t="shared" si="86"/>
        <v>1</v>
      </c>
      <c r="BP207" t="b">
        <f t="shared" ref="BP207:CS207" si="87">IF(ABS(BP191-BP199)&lt;0.01,TRUE)</f>
        <v>1</v>
      </c>
      <c r="BQ207" s="37" t="b">
        <f t="shared" si="87"/>
        <v>1</v>
      </c>
      <c r="BR207" t="b">
        <f t="shared" si="87"/>
        <v>1</v>
      </c>
      <c r="BS207" s="37" t="b">
        <f t="shared" si="87"/>
        <v>1</v>
      </c>
      <c r="BT207" t="b">
        <f t="shared" si="87"/>
        <v>1</v>
      </c>
      <c r="BU207" t="b">
        <f t="shared" si="87"/>
        <v>1</v>
      </c>
      <c r="BV207" t="b">
        <f t="shared" si="87"/>
        <v>1</v>
      </c>
      <c r="BW207" t="b">
        <f t="shared" si="87"/>
        <v>1</v>
      </c>
      <c r="BX207" t="b">
        <f t="shared" si="87"/>
        <v>1</v>
      </c>
      <c r="BY207" t="b">
        <f t="shared" si="87"/>
        <v>1</v>
      </c>
      <c r="BZ207" t="b">
        <f t="shared" si="87"/>
        <v>1</v>
      </c>
      <c r="CA207" t="b">
        <f t="shared" si="87"/>
        <v>1</v>
      </c>
      <c r="CB207" t="b">
        <f t="shared" si="87"/>
        <v>1</v>
      </c>
      <c r="CC207" t="b">
        <f t="shared" si="87"/>
        <v>1</v>
      </c>
      <c r="CD207" t="b">
        <f t="shared" si="87"/>
        <v>1</v>
      </c>
      <c r="CE207" t="b">
        <f t="shared" si="87"/>
        <v>1</v>
      </c>
      <c r="CF207" t="b">
        <f t="shared" si="87"/>
        <v>1</v>
      </c>
      <c r="CG207" t="b">
        <f t="shared" si="87"/>
        <v>1</v>
      </c>
      <c r="CH207" t="b">
        <f t="shared" si="87"/>
        <v>1</v>
      </c>
      <c r="CI207" t="b">
        <f t="shared" si="87"/>
        <v>1</v>
      </c>
      <c r="CJ207" s="37" t="b">
        <f t="shared" si="87"/>
        <v>1</v>
      </c>
      <c r="CK207" t="b">
        <f t="shared" si="87"/>
        <v>1</v>
      </c>
      <c r="CL207" s="37" t="b">
        <f t="shared" si="87"/>
        <v>1</v>
      </c>
      <c r="CM207" t="b">
        <f t="shared" si="87"/>
        <v>1</v>
      </c>
      <c r="CN207" t="b">
        <f t="shared" si="87"/>
        <v>1</v>
      </c>
      <c r="CO207" t="b">
        <f t="shared" si="87"/>
        <v>1</v>
      </c>
      <c r="CP207" t="b">
        <f t="shared" si="87"/>
        <v>1</v>
      </c>
      <c r="CQ207" t="b">
        <f t="shared" si="87"/>
        <v>1</v>
      </c>
      <c r="CR207" t="b">
        <f t="shared" si="87"/>
        <v>1</v>
      </c>
      <c r="CS207" t="b">
        <f t="shared" si="87"/>
        <v>1</v>
      </c>
    </row>
    <row r="208" spans="1:97" x14ac:dyDescent="0.25">
      <c r="A208" s="18" t="s">
        <v>6</v>
      </c>
      <c r="C208" s="25" t="b">
        <f>IF(ABS(C192-C200)&lt;0.01,TRUE)</f>
        <v>1</v>
      </c>
      <c r="D208" t="b">
        <f t="shared" ref="D208:BO208" si="88">IF(ABS(D192-D200)&lt;0.01,TRUE)</f>
        <v>1</v>
      </c>
      <c r="E208" t="b">
        <f t="shared" si="88"/>
        <v>1</v>
      </c>
      <c r="F208" t="b">
        <f t="shared" si="88"/>
        <v>1</v>
      </c>
      <c r="G208" t="b">
        <f t="shared" si="88"/>
        <v>1</v>
      </c>
      <c r="H208" t="b">
        <f t="shared" si="88"/>
        <v>1</v>
      </c>
      <c r="I208" t="b">
        <f t="shared" si="88"/>
        <v>1</v>
      </c>
      <c r="J208" t="b">
        <f t="shared" si="88"/>
        <v>1</v>
      </c>
      <c r="K208" t="b">
        <f t="shared" si="88"/>
        <v>1</v>
      </c>
      <c r="L208" s="25" t="b">
        <f t="shared" si="88"/>
        <v>1</v>
      </c>
      <c r="M208" t="b">
        <f t="shared" si="88"/>
        <v>1</v>
      </c>
      <c r="N208" t="b">
        <f t="shared" si="88"/>
        <v>1</v>
      </c>
      <c r="O208" s="25" t="b">
        <f t="shared" si="88"/>
        <v>1</v>
      </c>
      <c r="P208" t="b">
        <f t="shared" si="88"/>
        <v>1</v>
      </c>
      <c r="Q208" t="b">
        <f t="shared" si="88"/>
        <v>1</v>
      </c>
      <c r="R208" t="b">
        <f t="shared" si="88"/>
        <v>1</v>
      </c>
      <c r="S208" t="b">
        <f t="shared" si="88"/>
        <v>1</v>
      </c>
      <c r="T208" s="25" t="b">
        <f t="shared" si="88"/>
        <v>1</v>
      </c>
      <c r="U208" s="41" t="b">
        <f t="shared" si="88"/>
        <v>1</v>
      </c>
      <c r="V208" s="41" t="b">
        <f t="shared" si="88"/>
        <v>1</v>
      </c>
      <c r="W208" s="41" t="b">
        <f t="shared" si="88"/>
        <v>1</v>
      </c>
      <c r="X208" s="41" t="b">
        <f t="shared" si="88"/>
        <v>1</v>
      </c>
      <c r="Y208" s="25" t="b">
        <f t="shared" si="88"/>
        <v>1</v>
      </c>
      <c r="Z208" s="41" t="b">
        <f t="shared" si="88"/>
        <v>1</v>
      </c>
      <c r="AA208" s="41" t="b">
        <f t="shared" si="88"/>
        <v>1</v>
      </c>
      <c r="AB208" s="41" t="b">
        <f t="shared" si="88"/>
        <v>1</v>
      </c>
      <c r="AC208" s="41" t="b">
        <f t="shared" si="88"/>
        <v>1</v>
      </c>
      <c r="AD208" s="45" t="b">
        <f t="shared" si="88"/>
        <v>1</v>
      </c>
      <c r="AE208" t="b">
        <f t="shared" si="88"/>
        <v>1</v>
      </c>
      <c r="AF208" t="b">
        <f t="shared" si="88"/>
        <v>1</v>
      </c>
      <c r="AG208" t="b">
        <f t="shared" si="88"/>
        <v>1</v>
      </c>
      <c r="AH208" t="b">
        <f t="shared" si="88"/>
        <v>1</v>
      </c>
      <c r="AI208" t="b">
        <f t="shared" si="88"/>
        <v>1</v>
      </c>
      <c r="AJ208" s="25" t="b">
        <f t="shared" si="88"/>
        <v>1</v>
      </c>
      <c r="AK208" s="41" t="b">
        <f t="shared" si="88"/>
        <v>1</v>
      </c>
      <c r="AL208" s="41" t="b">
        <f t="shared" si="88"/>
        <v>1</v>
      </c>
      <c r="AM208" s="41" t="b">
        <f t="shared" si="88"/>
        <v>1</v>
      </c>
      <c r="AN208" s="41" t="b">
        <f t="shared" si="88"/>
        <v>1</v>
      </c>
      <c r="AO208" t="b">
        <f t="shared" si="88"/>
        <v>1</v>
      </c>
      <c r="AP208" s="25" t="b">
        <f t="shared" si="88"/>
        <v>1</v>
      </c>
      <c r="AQ208" t="b">
        <f t="shared" si="88"/>
        <v>1</v>
      </c>
      <c r="AR208" t="b">
        <f t="shared" si="88"/>
        <v>1</v>
      </c>
      <c r="AS208" t="b">
        <f t="shared" si="88"/>
        <v>1</v>
      </c>
      <c r="AT208" t="b">
        <f t="shared" si="88"/>
        <v>1</v>
      </c>
      <c r="AU208" t="b">
        <f t="shared" si="88"/>
        <v>1</v>
      </c>
      <c r="AV208" s="25" t="b">
        <f t="shared" si="88"/>
        <v>1</v>
      </c>
      <c r="AW208" t="b">
        <f t="shared" si="88"/>
        <v>1</v>
      </c>
      <c r="AX208" t="b">
        <f t="shared" si="88"/>
        <v>1</v>
      </c>
      <c r="AY208" t="b">
        <f t="shared" si="88"/>
        <v>1</v>
      </c>
      <c r="AZ208" t="b">
        <f t="shared" si="88"/>
        <v>1</v>
      </c>
      <c r="BA208" t="b">
        <f t="shared" si="88"/>
        <v>1</v>
      </c>
      <c r="BB208" s="25" t="b">
        <f t="shared" si="88"/>
        <v>1</v>
      </c>
      <c r="BC208" t="b">
        <f t="shared" si="88"/>
        <v>1</v>
      </c>
      <c r="BD208" t="b">
        <f t="shared" si="88"/>
        <v>1</v>
      </c>
      <c r="BE208" t="b">
        <f t="shared" si="88"/>
        <v>1</v>
      </c>
      <c r="BF208" s="45" t="b">
        <f t="shared" si="88"/>
        <v>1</v>
      </c>
      <c r="BG208" t="b">
        <f t="shared" si="88"/>
        <v>1</v>
      </c>
      <c r="BH208" t="b">
        <f t="shared" si="88"/>
        <v>1</v>
      </c>
      <c r="BI208" s="25" t="b">
        <f t="shared" si="88"/>
        <v>1</v>
      </c>
      <c r="BJ208" s="37" t="b">
        <f t="shared" si="88"/>
        <v>1</v>
      </c>
      <c r="BK208" t="b">
        <f t="shared" si="88"/>
        <v>1</v>
      </c>
      <c r="BL208" s="37" t="b">
        <f t="shared" si="88"/>
        <v>1</v>
      </c>
      <c r="BM208" t="b">
        <f t="shared" si="88"/>
        <v>1</v>
      </c>
      <c r="BN208" t="b">
        <f t="shared" si="88"/>
        <v>1</v>
      </c>
      <c r="BO208" t="b">
        <f t="shared" si="88"/>
        <v>1</v>
      </c>
      <c r="BP208" t="b">
        <f t="shared" ref="BP208:CS208" si="89">IF(ABS(BP192-BP200)&lt;0.01,TRUE)</f>
        <v>1</v>
      </c>
      <c r="BQ208" s="37" t="b">
        <f t="shared" si="89"/>
        <v>1</v>
      </c>
      <c r="BR208" t="b">
        <f t="shared" si="89"/>
        <v>1</v>
      </c>
      <c r="BS208" s="37" t="b">
        <f t="shared" si="89"/>
        <v>1</v>
      </c>
      <c r="BT208" t="b">
        <f t="shared" si="89"/>
        <v>1</v>
      </c>
      <c r="BU208" t="b">
        <f t="shared" si="89"/>
        <v>1</v>
      </c>
      <c r="BV208" t="b">
        <f t="shared" si="89"/>
        <v>1</v>
      </c>
      <c r="BW208" t="b">
        <f t="shared" si="89"/>
        <v>1</v>
      </c>
      <c r="BX208" t="b">
        <f t="shared" si="89"/>
        <v>1</v>
      </c>
      <c r="BY208" t="b">
        <f t="shared" si="89"/>
        <v>1</v>
      </c>
      <c r="BZ208" t="b">
        <f t="shared" si="89"/>
        <v>1</v>
      </c>
      <c r="CA208" t="b">
        <f t="shared" si="89"/>
        <v>1</v>
      </c>
      <c r="CB208" t="b">
        <f t="shared" si="89"/>
        <v>1</v>
      </c>
      <c r="CC208" t="b">
        <f t="shared" si="89"/>
        <v>1</v>
      </c>
      <c r="CD208" t="b">
        <f t="shared" si="89"/>
        <v>1</v>
      </c>
      <c r="CE208" t="b">
        <f t="shared" si="89"/>
        <v>1</v>
      </c>
      <c r="CF208" t="b">
        <f t="shared" si="89"/>
        <v>1</v>
      </c>
      <c r="CG208" t="b">
        <f t="shared" si="89"/>
        <v>1</v>
      </c>
      <c r="CH208" t="b">
        <f t="shared" si="89"/>
        <v>1</v>
      </c>
      <c r="CI208" t="b">
        <f t="shared" si="89"/>
        <v>1</v>
      </c>
      <c r="CJ208" s="37" t="b">
        <f t="shared" si="89"/>
        <v>1</v>
      </c>
      <c r="CK208" t="b">
        <f t="shared" si="89"/>
        <v>1</v>
      </c>
      <c r="CL208" s="37" t="b">
        <f t="shared" si="89"/>
        <v>1</v>
      </c>
      <c r="CM208" t="b">
        <f t="shared" si="89"/>
        <v>1</v>
      </c>
      <c r="CN208" t="b">
        <f t="shared" si="89"/>
        <v>1</v>
      </c>
      <c r="CO208" t="b">
        <f t="shared" si="89"/>
        <v>1</v>
      </c>
      <c r="CP208" t="b">
        <f t="shared" si="89"/>
        <v>1</v>
      </c>
      <c r="CQ208" t="b">
        <f t="shared" si="89"/>
        <v>1</v>
      </c>
      <c r="CR208" t="b">
        <f t="shared" si="89"/>
        <v>1</v>
      </c>
      <c r="CS208" t="b">
        <f t="shared" si="89"/>
        <v>1</v>
      </c>
    </row>
    <row r="209" spans="1:97" x14ac:dyDescent="0.25">
      <c r="A209" s="18" t="s">
        <v>7</v>
      </c>
      <c r="C209" s="25" t="b">
        <f>IF(ABS(C201-C193)&lt;0.01,TRUE)</f>
        <v>1</v>
      </c>
      <c r="D209" t="b">
        <f t="shared" ref="D209:BO209" si="90">IF(ABS(D201-D193)&lt;0.01,TRUE)</f>
        <v>1</v>
      </c>
      <c r="E209" t="b">
        <f t="shared" si="90"/>
        <v>1</v>
      </c>
      <c r="F209" t="b">
        <f t="shared" si="90"/>
        <v>1</v>
      </c>
      <c r="G209" t="b">
        <f t="shared" si="90"/>
        <v>1</v>
      </c>
      <c r="H209" t="b">
        <f t="shared" si="90"/>
        <v>1</v>
      </c>
      <c r="I209" t="b">
        <f t="shared" si="90"/>
        <v>1</v>
      </c>
      <c r="J209" t="b">
        <f t="shared" si="90"/>
        <v>1</v>
      </c>
      <c r="K209" t="b">
        <f t="shared" si="90"/>
        <v>1</v>
      </c>
      <c r="L209" s="25" t="b">
        <f t="shared" si="90"/>
        <v>1</v>
      </c>
      <c r="M209" t="b">
        <f t="shared" si="90"/>
        <v>1</v>
      </c>
      <c r="N209" t="b">
        <f t="shared" si="90"/>
        <v>1</v>
      </c>
      <c r="O209" s="25" t="b">
        <f t="shared" si="90"/>
        <v>1</v>
      </c>
      <c r="P209" t="b">
        <f t="shared" si="90"/>
        <v>1</v>
      </c>
      <c r="Q209" t="b">
        <f t="shared" si="90"/>
        <v>1</v>
      </c>
      <c r="R209" t="b">
        <f t="shared" si="90"/>
        <v>1</v>
      </c>
      <c r="S209" t="b">
        <f t="shared" si="90"/>
        <v>1</v>
      </c>
      <c r="T209" s="25" t="b">
        <f t="shared" si="90"/>
        <v>1</v>
      </c>
      <c r="U209" s="41" t="b">
        <f t="shared" si="90"/>
        <v>1</v>
      </c>
      <c r="V209" s="41" t="b">
        <f t="shared" si="90"/>
        <v>1</v>
      </c>
      <c r="W209" s="41" t="b">
        <f t="shared" si="90"/>
        <v>1</v>
      </c>
      <c r="X209" s="41" t="b">
        <f t="shared" si="90"/>
        <v>1</v>
      </c>
      <c r="Y209" s="25" t="b">
        <f t="shared" si="90"/>
        <v>1</v>
      </c>
      <c r="Z209" s="41" t="b">
        <f t="shared" si="90"/>
        <v>1</v>
      </c>
      <c r="AA209" s="41" t="b">
        <f t="shared" si="90"/>
        <v>1</v>
      </c>
      <c r="AB209" s="41" t="b">
        <f t="shared" si="90"/>
        <v>1</v>
      </c>
      <c r="AC209" s="41" t="b">
        <f t="shared" si="90"/>
        <v>1</v>
      </c>
      <c r="AD209" s="45" t="b">
        <f t="shared" si="90"/>
        <v>1</v>
      </c>
      <c r="AE209" t="b">
        <f t="shared" si="90"/>
        <v>1</v>
      </c>
      <c r="AF209" t="b">
        <f t="shared" si="90"/>
        <v>1</v>
      </c>
      <c r="AG209" t="b">
        <f t="shared" si="90"/>
        <v>1</v>
      </c>
      <c r="AH209" t="b">
        <f t="shared" si="90"/>
        <v>1</v>
      </c>
      <c r="AI209" t="b">
        <f t="shared" si="90"/>
        <v>1</v>
      </c>
      <c r="AJ209" s="25" t="b">
        <f t="shared" si="90"/>
        <v>1</v>
      </c>
      <c r="AK209" s="41" t="b">
        <f t="shared" si="90"/>
        <v>1</v>
      </c>
      <c r="AL209" s="41" t="b">
        <f t="shared" si="90"/>
        <v>1</v>
      </c>
      <c r="AM209" s="41" t="b">
        <f t="shared" si="90"/>
        <v>1</v>
      </c>
      <c r="AN209" s="41" t="b">
        <f t="shared" si="90"/>
        <v>1</v>
      </c>
      <c r="AO209" t="b">
        <f t="shared" si="90"/>
        <v>1</v>
      </c>
      <c r="AP209" s="25" t="b">
        <f t="shared" si="90"/>
        <v>1</v>
      </c>
      <c r="AQ209" t="b">
        <f t="shared" si="90"/>
        <v>1</v>
      </c>
      <c r="AR209" t="b">
        <f t="shared" si="90"/>
        <v>1</v>
      </c>
      <c r="AS209" t="b">
        <f t="shared" si="90"/>
        <v>1</v>
      </c>
      <c r="AT209" t="b">
        <f t="shared" si="90"/>
        <v>1</v>
      </c>
      <c r="AU209" t="b">
        <f t="shared" si="90"/>
        <v>1</v>
      </c>
      <c r="AV209" s="25" t="b">
        <f t="shared" si="90"/>
        <v>1</v>
      </c>
      <c r="AW209" t="b">
        <f t="shared" si="90"/>
        <v>1</v>
      </c>
      <c r="AX209" t="b">
        <f t="shared" si="90"/>
        <v>1</v>
      </c>
      <c r="AY209" t="b">
        <f t="shared" si="90"/>
        <v>1</v>
      </c>
      <c r="AZ209" t="b">
        <f t="shared" si="90"/>
        <v>1</v>
      </c>
      <c r="BA209" t="b">
        <f t="shared" si="90"/>
        <v>1</v>
      </c>
      <c r="BB209" s="25" t="b">
        <f t="shared" si="90"/>
        <v>1</v>
      </c>
      <c r="BC209" t="b">
        <f t="shared" si="90"/>
        <v>1</v>
      </c>
      <c r="BD209" t="b">
        <f t="shared" si="90"/>
        <v>1</v>
      </c>
      <c r="BE209" t="b">
        <f t="shared" si="90"/>
        <v>1</v>
      </c>
      <c r="BF209" s="45" t="b">
        <f t="shared" si="90"/>
        <v>1</v>
      </c>
      <c r="BG209" t="b">
        <f t="shared" si="90"/>
        <v>1</v>
      </c>
      <c r="BH209" t="b">
        <f t="shared" si="90"/>
        <v>1</v>
      </c>
      <c r="BI209" s="25" t="b">
        <f t="shared" si="90"/>
        <v>1</v>
      </c>
      <c r="BJ209" s="37" t="b">
        <f t="shared" si="90"/>
        <v>1</v>
      </c>
      <c r="BK209" t="b">
        <f t="shared" si="90"/>
        <v>1</v>
      </c>
      <c r="BL209" s="37" t="b">
        <f t="shared" si="90"/>
        <v>1</v>
      </c>
      <c r="BM209" t="b">
        <f t="shared" si="90"/>
        <v>1</v>
      </c>
      <c r="BN209" t="b">
        <f t="shared" si="90"/>
        <v>1</v>
      </c>
      <c r="BO209" t="b">
        <f t="shared" si="90"/>
        <v>1</v>
      </c>
      <c r="BP209" t="b">
        <f t="shared" ref="BP209:CS209" si="91">IF(ABS(BP201-BP193)&lt;0.01,TRUE)</f>
        <v>1</v>
      </c>
      <c r="BQ209" s="37" t="b">
        <f t="shared" si="91"/>
        <v>1</v>
      </c>
      <c r="BR209" t="b">
        <f t="shared" si="91"/>
        <v>1</v>
      </c>
      <c r="BS209" s="37" t="b">
        <f t="shared" si="91"/>
        <v>1</v>
      </c>
      <c r="BT209" t="b">
        <f t="shared" si="91"/>
        <v>1</v>
      </c>
      <c r="BU209" t="b">
        <f t="shared" si="91"/>
        <v>1</v>
      </c>
      <c r="BV209" t="b">
        <f t="shared" si="91"/>
        <v>1</v>
      </c>
      <c r="BW209" t="b">
        <f t="shared" si="91"/>
        <v>1</v>
      </c>
      <c r="BX209" t="b">
        <f t="shared" si="91"/>
        <v>1</v>
      </c>
      <c r="BY209" t="b">
        <f t="shared" si="91"/>
        <v>1</v>
      </c>
      <c r="BZ209" t="b">
        <f t="shared" si="91"/>
        <v>1</v>
      </c>
      <c r="CA209" t="b">
        <f t="shared" si="91"/>
        <v>1</v>
      </c>
      <c r="CB209" t="b">
        <f t="shared" si="91"/>
        <v>1</v>
      </c>
      <c r="CC209" t="b">
        <f t="shared" si="91"/>
        <v>1</v>
      </c>
      <c r="CD209" t="b">
        <f t="shared" si="91"/>
        <v>1</v>
      </c>
      <c r="CE209" t="b">
        <f t="shared" si="91"/>
        <v>1</v>
      </c>
      <c r="CF209" t="b">
        <f t="shared" si="91"/>
        <v>1</v>
      </c>
      <c r="CG209" t="b">
        <f t="shared" si="91"/>
        <v>1</v>
      </c>
      <c r="CH209" t="b">
        <f t="shared" si="91"/>
        <v>1</v>
      </c>
      <c r="CI209" t="b">
        <f t="shared" si="91"/>
        <v>1</v>
      </c>
      <c r="CJ209" s="37" t="b">
        <f t="shared" si="91"/>
        <v>1</v>
      </c>
      <c r="CK209" t="b">
        <f t="shared" si="91"/>
        <v>1</v>
      </c>
      <c r="CL209" s="37" t="b">
        <f t="shared" si="91"/>
        <v>1</v>
      </c>
      <c r="CM209" t="b">
        <f t="shared" si="91"/>
        <v>1</v>
      </c>
      <c r="CN209" t="b">
        <f t="shared" si="91"/>
        <v>1</v>
      </c>
      <c r="CO209" t="b">
        <f t="shared" si="91"/>
        <v>1</v>
      </c>
      <c r="CP209" t="b">
        <f t="shared" si="91"/>
        <v>1</v>
      </c>
      <c r="CQ209" t="b">
        <f t="shared" si="91"/>
        <v>1</v>
      </c>
      <c r="CR209" t="b">
        <f t="shared" si="91"/>
        <v>1</v>
      </c>
      <c r="CS209" t="b">
        <f t="shared" si="91"/>
        <v>1</v>
      </c>
    </row>
    <row r="212" spans="1:97" x14ac:dyDescent="0.25">
      <c r="A212" s="17" t="s">
        <v>189</v>
      </c>
    </row>
    <row r="213" spans="1:97" x14ac:dyDescent="0.25">
      <c r="A213" s="18" t="s">
        <v>3</v>
      </c>
      <c r="C213" s="25">
        <v>2.36</v>
      </c>
      <c r="O213" s="25">
        <v>2.2200000000000002</v>
      </c>
      <c r="R213">
        <v>3.2</v>
      </c>
      <c r="W213" s="41">
        <v>3.11</v>
      </c>
      <c r="AJ213" s="25">
        <v>2.88</v>
      </c>
      <c r="AP213" s="25">
        <v>2.88</v>
      </c>
      <c r="AV213" s="25">
        <v>2.83</v>
      </c>
      <c r="BB213" s="25">
        <v>2.88</v>
      </c>
      <c r="BH213">
        <v>3.23</v>
      </c>
      <c r="BJ213" s="37">
        <v>3.19</v>
      </c>
      <c r="BL213" s="37">
        <v>3.19</v>
      </c>
      <c r="BQ213" s="37">
        <v>3.27</v>
      </c>
      <c r="BS213" s="37">
        <v>3.28</v>
      </c>
      <c r="CJ213" s="37">
        <v>3.25</v>
      </c>
      <c r="CL213" s="37">
        <v>3.26</v>
      </c>
    </row>
    <row r="214" spans="1:97" x14ac:dyDescent="0.25">
      <c r="A214" s="18" t="s">
        <v>4</v>
      </c>
      <c r="C214" s="25">
        <v>2.2200000000000002</v>
      </c>
      <c r="O214" s="25">
        <v>2.11</v>
      </c>
      <c r="R214">
        <v>2.71</v>
      </c>
      <c r="W214" s="41">
        <v>2.63</v>
      </c>
      <c r="AJ214" s="25">
        <v>2.78</v>
      </c>
      <c r="AP214" s="25">
        <v>2.78</v>
      </c>
      <c r="AV214" s="25">
        <v>2.74</v>
      </c>
      <c r="BB214" s="25">
        <v>2.78</v>
      </c>
      <c r="BH214">
        <v>2.68</v>
      </c>
      <c r="BJ214" s="37">
        <v>2.64</v>
      </c>
      <c r="BL214" s="37">
        <v>2.64</v>
      </c>
      <c r="BQ214" s="37">
        <v>2.71</v>
      </c>
      <c r="BS214" s="37">
        <v>2.71</v>
      </c>
      <c r="CJ214" s="37">
        <v>2.69</v>
      </c>
      <c r="CL214" s="37">
        <v>2.7</v>
      </c>
    </row>
    <row r="215" spans="1:97" x14ac:dyDescent="0.25">
      <c r="A215" s="18" t="s">
        <v>5</v>
      </c>
      <c r="C215" s="25">
        <v>5.67</v>
      </c>
      <c r="O215" s="25">
        <v>5.2</v>
      </c>
      <c r="R215">
        <v>8.5399999999999991</v>
      </c>
      <c r="W215" s="41">
        <v>8.6199999999999992</v>
      </c>
      <c r="AJ215" s="25">
        <v>8.4</v>
      </c>
      <c r="AP215" s="25">
        <v>8.4</v>
      </c>
      <c r="AV215" s="25">
        <v>8.4</v>
      </c>
      <c r="BB215" s="25">
        <v>8.4</v>
      </c>
      <c r="BH215">
        <v>9.5299999999999994</v>
      </c>
      <c r="BJ215" s="37">
        <v>9.5</v>
      </c>
      <c r="BL215" s="37">
        <v>9.49</v>
      </c>
      <c r="BQ215" s="37">
        <v>9.56</v>
      </c>
      <c r="BS215" s="37">
        <v>9.57</v>
      </c>
      <c r="CJ215" s="37">
        <v>9.5399999999999991</v>
      </c>
      <c r="CL215" s="37">
        <v>9.5500000000000007</v>
      </c>
    </row>
    <row r="216" spans="1:97" x14ac:dyDescent="0.25">
      <c r="A216" s="18" t="s">
        <v>6</v>
      </c>
      <c r="C216" s="25">
        <v>3.99</v>
      </c>
      <c r="O216" s="25">
        <v>3.71</v>
      </c>
      <c r="R216">
        <v>4.47</v>
      </c>
      <c r="W216" s="41">
        <v>4.5</v>
      </c>
      <c r="AJ216" s="25">
        <v>4.5599999999999996</v>
      </c>
      <c r="AP216" s="25">
        <v>4.5599999999999996</v>
      </c>
      <c r="AV216" s="25">
        <v>4.5599999999999996</v>
      </c>
      <c r="BB216" s="25">
        <v>4.5599999999999996</v>
      </c>
      <c r="BH216">
        <v>4.3499999999999996</v>
      </c>
      <c r="BJ216" s="37">
        <v>4.33</v>
      </c>
      <c r="BL216" s="37">
        <v>4.33</v>
      </c>
      <c r="BQ216" s="37">
        <v>4.3600000000000003</v>
      </c>
      <c r="BS216" s="37">
        <v>4.3600000000000003</v>
      </c>
      <c r="CJ216" s="37">
        <v>4.3499999999999996</v>
      </c>
      <c r="CL216" s="37">
        <v>4.3600000000000003</v>
      </c>
    </row>
    <row r="217" spans="1:97" x14ac:dyDescent="0.25">
      <c r="A217" s="18" t="s">
        <v>7</v>
      </c>
      <c r="C217" s="25">
        <v>2.58</v>
      </c>
      <c r="O217" s="25">
        <v>2.58</v>
      </c>
      <c r="R217">
        <v>2.84</v>
      </c>
      <c r="W217" s="41">
        <v>2.86</v>
      </c>
      <c r="AJ217" s="25">
        <v>2.72</v>
      </c>
      <c r="AP217" s="25">
        <v>2.73</v>
      </c>
      <c r="AV217" s="25">
        <v>2.69</v>
      </c>
      <c r="BB217" s="25">
        <v>2.7</v>
      </c>
      <c r="BH217">
        <v>2.81</v>
      </c>
      <c r="BJ217" s="37">
        <v>2.8</v>
      </c>
      <c r="BL217" s="37">
        <v>2.79</v>
      </c>
      <c r="BQ217" s="37">
        <v>2.8</v>
      </c>
      <c r="BS217" s="37">
        <v>2.8</v>
      </c>
      <c r="CJ217" s="37">
        <v>2.8</v>
      </c>
      <c r="CL217" s="37">
        <v>2.8</v>
      </c>
    </row>
    <row r="218" spans="1:97" x14ac:dyDescent="0.25">
      <c r="D218" s="29">
        <v>44973</v>
      </c>
      <c r="E218" s="29">
        <v>44973</v>
      </c>
      <c r="F218" s="29">
        <v>44975</v>
      </c>
      <c r="G218" s="29">
        <v>44975</v>
      </c>
      <c r="H218" s="29">
        <v>44977</v>
      </c>
      <c r="I218" s="29">
        <v>44977</v>
      </c>
      <c r="J218" s="29">
        <v>44979</v>
      </c>
      <c r="K218" s="29">
        <v>44979</v>
      </c>
      <c r="M218" s="29">
        <v>44982</v>
      </c>
      <c r="N218" s="29">
        <v>44982</v>
      </c>
      <c r="P218" s="29">
        <v>44985</v>
      </c>
      <c r="Q218" s="29">
        <v>44985</v>
      </c>
    </row>
    <row r="219" spans="1:97" x14ac:dyDescent="0.25">
      <c r="D219" s="30" t="s">
        <v>207</v>
      </c>
      <c r="E219" s="30" t="s">
        <v>207</v>
      </c>
      <c r="F219" s="30" t="s">
        <v>207</v>
      </c>
      <c r="G219" s="30" t="s">
        <v>207</v>
      </c>
      <c r="H219" s="30" t="s">
        <v>207</v>
      </c>
      <c r="I219" s="30" t="s">
        <v>207</v>
      </c>
      <c r="J219" s="30" t="s">
        <v>207</v>
      </c>
      <c r="K219" s="30" t="s">
        <v>207</v>
      </c>
      <c r="M219" s="30" t="s">
        <v>207</v>
      </c>
      <c r="N219" s="30" t="s">
        <v>207</v>
      </c>
      <c r="P219" s="30" t="s">
        <v>207</v>
      </c>
      <c r="Q219" s="30" t="s">
        <v>207</v>
      </c>
    </row>
    <row r="220" spans="1:97" x14ac:dyDescent="0.25">
      <c r="A220" s="17" t="s">
        <v>191</v>
      </c>
      <c r="D220" s="30"/>
      <c r="E220" s="30"/>
      <c r="F220" s="30"/>
      <c r="G220" s="30"/>
      <c r="H220" s="30"/>
      <c r="I220" s="30"/>
      <c r="J220" s="30"/>
      <c r="K220" s="30"/>
      <c r="M220" s="30"/>
      <c r="N220" s="30"/>
      <c r="P220" s="30"/>
      <c r="Q220" s="30"/>
    </row>
    <row r="221" spans="1:97" x14ac:dyDescent="0.25">
      <c r="A221" s="18" t="s">
        <v>3</v>
      </c>
      <c r="C221" s="25" t="b">
        <f>IF(ABS(C189-C213)&lt;0.01, TRUE)</f>
        <v>1</v>
      </c>
      <c r="D221" s="30">
        <f>(D168+D178+D51*0.2)/(D173-D183)</f>
        <v>2.551519521183947</v>
      </c>
      <c r="E221" s="30">
        <f>(D168+D178)/(D173-D183+D51*0.2)</f>
        <v>1.9743211501828812</v>
      </c>
      <c r="F221" s="30">
        <f>(F168+F178+F52*0.3)/(F173-F183)</f>
        <v>2.5151904839533512</v>
      </c>
      <c r="G221" s="30">
        <f>(F168+F178)/(F173-F183+F52*0.3)</f>
        <v>2.036274363295997</v>
      </c>
      <c r="H221" s="30">
        <f>(H168+H178+H53*0.4)/(H173-H183)</f>
        <v>3.0407878557124439</v>
      </c>
      <c r="I221" s="30">
        <f>(H168+H178)/(H173-H183+H53*0.4)</f>
        <v>1.4004743902800014</v>
      </c>
      <c r="J221" s="30">
        <f>(J168+J178+J50*0.1)/(J173-J183)</f>
        <v>2.6444532093266551</v>
      </c>
      <c r="K221" s="30">
        <f>(J168+J178)/(J173-J183+J50*0.1)</f>
        <v>1.8317556732487925</v>
      </c>
      <c r="M221" s="30">
        <f>(M168+M178+M54*0.5)/(M173-M183)</f>
        <v>2.8079165890305227</v>
      </c>
      <c r="N221" s="30">
        <f>(M168+M178)/(M173-M183+M54*0.5)</f>
        <v>1.9174358319992344</v>
      </c>
      <c r="O221" s="25" t="b">
        <f>IF(ABS(O189-O213)&lt;0.01, TRUE)</f>
        <v>1</v>
      </c>
      <c r="P221" s="30">
        <f>(P168+P178)/(P173-P183)</f>
        <v>2.4931480199343481</v>
      </c>
      <c r="Q221" s="30">
        <f>(P168+P178)/(P173-P183)</f>
        <v>2.4931480199343481</v>
      </c>
      <c r="R221" t="b">
        <f>IF(ABS(R189-R213)&lt;0.01, TRUE)</f>
        <v>1</v>
      </c>
      <c r="W221" s="41" t="b">
        <f>IF(ABS(W189-W213)&lt;0.01, TRUE)</f>
        <v>1</v>
      </c>
      <c r="AJ221" s="25" t="b">
        <f>IF(ABS(AJ189-AJ213)&lt;0.01, TRUE)</f>
        <v>1</v>
      </c>
      <c r="AP221" s="25" t="b">
        <f>IF(ABS(AP189-AP213)&lt;0.01, TRUE)</f>
        <v>1</v>
      </c>
      <c r="AV221" s="25" t="b">
        <f>IF(ABS(AV189-AV213)&lt;0.01, TRUE)</f>
        <v>1</v>
      </c>
      <c r="BB221" s="25" t="b">
        <f>IF(ABS(BB189-BB213)&lt;0.01, TRUE)</f>
        <v>1</v>
      </c>
      <c r="BH221" t="b">
        <f>IF(ABS(BH189-BH213)&lt;0.01, TRUE)</f>
        <v>1</v>
      </c>
      <c r="BJ221" s="37" t="b">
        <f>IF(ABS(BJ189-BJ213)&lt;0.01, TRUE)</f>
        <v>1</v>
      </c>
      <c r="BL221" s="37" t="b">
        <f>IF(ABS(BL189-BL213)&lt;0.01,TRUE)</f>
        <v>1</v>
      </c>
      <c r="BQ221" s="37" t="b">
        <f>IF(ABS(BQ189-BQ213)&lt;0.01, TRUE)</f>
        <v>1</v>
      </c>
      <c r="BS221" s="37" t="b">
        <f>IF(ABS(BS189-BS213)&lt;0.01, TRUE)</f>
        <v>1</v>
      </c>
      <c r="CJ221" s="37" t="b">
        <f>IF(ABS(CJ189-CJ213)&lt;0.01, TRUE)</f>
        <v>1</v>
      </c>
      <c r="CL221" s="37" t="b">
        <f>IF(ABS(CL189-CL213)&lt;0.01, TRUE)</f>
        <v>1</v>
      </c>
    </row>
    <row r="222" spans="1:97" x14ac:dyDescent="0.25">
      <c r="A222" s="18" t="s">
        <v>4</v>
      </c>
      <c r="C222" s="25" t="b">
        <f t="shared" ref="C222:C225" si="92">IF(ABS(C190-C214)&lt;0.01, TRUE)</f>
        <v>1</v>
      </c>
      <c r="D222" s="31">
        <f>(D168+D179+D51*0.2)/(D174-(D184+D183))</f>
        <v>2.3877780010207976</v>
      </c>
      <c r="E222" s="30">
        <f>(D168+D179)/(D174-(D184+D183)+D51*0.2)</f>
        <v>1.9106276609346924</v>
      </c>
      <c r="F222" s="30">
        <f>(F168+F179+F52*0.3)/(F174-(F184+F183))</f>
        <v>2.3570888244005799</v>
      </c>
      <c r="G222" s="30">
        <f>(F168+F179)/(F174-(F184+F183)+F52*0.3)</f>
        <v>1.9623689946073066</v>
      </c>
      <c r="H222" s="30">
        <f>(H168+H179+H53*0.4)/(H174-(H184+H183))</f>
        <v>2.8010904220936919</v>
      </c>
      <c r="I222" s="30">
        <f>(H168+H179)/(H174-(H184+H183)+H53*0.4)</f>
        <v>1.4099536895840135</v>
      </c>
      <c r="J222" s="30">
        <f>(J168+J179+J50*0.1)/(J174-(J184+J183))</f>
        <v>2.4662843030534276</v>
      </c>
      <c r="K222" s="30">
        <f>(J168+J179)/(J174-(J184+J183)+J50*0.1)</f>
        <v>1.7899004658311763</v>
      </c>
      <c r="M222" s="30">
        <f>(M168+M179+M54*0.5)/(M174-(M184+M183))</f>
        <v>2.6101964700582303</v>
      </c>
      <c r="N222" s="30">
        <f>(M168+M179)/(M174-(M184+M183)+M54*0.5)</f>
        <v>1.8670586265175555</v>
      </c>
      <c r="O222" s="25" t="b">
        <f>IF(ABS(O190-O214)&lt;0.01, TRUE)</f>
        <v>1</v>
      </c>
      <c r="P222" s="30">
        <f>(P168+P179)/(P174-(P184+P183))</f>
        <v>2.3394744782218191</v>
      </c>
      <c r="Q222" s="30">
        <f>(P168+P179)/(P174-(P184+P183))</f>
        <v>2.3394744782218191</v>
      </c>
      <c r="R222" t="b">
        <f t="shared" ref="R222:R225" si="93">IF(ABS(R190-R214)&lt;0.01, TRUE)</f>
        <v>1</v>
      </c>
      <c r="W222" s="41" t="b">
        <f t="shared" ref="W222:W225" si="94">IF(ABS(W190-W214)&lt;0.01, TRUE)</f>
        <v>1</v>
      </c>
      <c r="AJ222" s="25" t="b">
        <f t="shared" ref="AJ222:AJ225" si="95">IF(ABS(AJ190-AJ214)&lt;0.01, TRUE)</f>
        <v>1</v>
      </c>
      <c r="AP222" s="25" t="b">
        <f t="shared" ref="AP222:AP225" si="96">IF(ABS(AP190-AP214)&lt;0.01, TRUE)</f>
        <v>1</v>
      </c>
      <c r="AV222" s="25" t="b">
        <f>IF(ABS(AV190-AV214)&lt;0.01, TRUE)</f>
        <v>1</v>
      </c>
      <c r="BB222" s="25" t="b">
        <f t="shared" ref="BB222:BB225" si="97">IF(ABS(BB190-BB214)&lt;0.01, TRUE)</f>
        <v>1</v>
      </c>
      <c r="BH222" t="b">
        <f t="shared" ref="BH222:BH225" si="98">IF(ABS(BH190-BH214)&lt;0.01, TRUE)</f>
        <v>1</v>
      </c>
      <c r="BJ222" s="37" t="b">
        <f t="shared" ref="BJ222:BJ225" si="99">IF(ABS(BJ190-BJ214)&lt;0.01, TRUE)</f>
        <v>1</v>
      </c>
      <c r="BL222" s="37" t="b">
        <f t="shared" ref="BL222:BL225" si="100">IF(ABS(BL190-BL214)&lt;0.01,TRUE)</f>
        <v>1</v>
      </c>
      <c r="BQ222" s="37" t="b">
        <f t="shared" ref="BQ222:BQ225" si="101">IF(ABS(BQ190-BQ214)&lt;0.01, TRUE)</f>
        <v>1</v>
      </c>
      <c r="BS222" s="37" t="b">
        <f t="shared" ref="BS222:BS225" si="102">IF(ABS(BS190-BS214)&lt;0.01, TRUE)</f>
        <v>1</v>
      </c>
      <c r="CJ222" s="37" t="b">
        <f t="shared" ref="CJ222:CJ225" si="103">IF(ABS(CJ190-CJ214)&lt;0.01, TRUE)</f>
        <v>1</v>
      </c>
      <c r="CL222" s="37" t="b">
        <f t="shared" ref="CL222:CL225" si="104">IF(ABS(CL190-CL214)&lt;0.01, TRUE)</f>
        <v>1</v>
      </c>
    </row>
    <row r="223" spans="1:97" x14ac:dyDescent="0.25">
      <c r="A223" s="18" t="s">
        <v>5</v>
      </c>
      <c r="C223" s="25" t="b">
        <f t="shared" si="92"/>
        <v>1</v>
      </c>
      <c r="D223" s="30">
        <f>(D168+D51*0.2+D169+D180+D30*0.85*0.2)/(D175-(D183+D184)-(D185*1.2))</f>
        <v>4.8766129860979639</v>
      </c>
      <c r="E223" s="30">
        <f>(D168+D169+D180-D30*0.85*0.2)/(D175-(D183+D184)-(D185*1.2)+D51*0.2)</f>
        <v>4.0205059747097209</v>
      </c>
      <c r="F223" s="30">
        <f>(F168+F169+F180+F31*0.95*0.3+F52*0.3)/(F175-(F183+F184)-(F185*1.2))</f>
        <v>5.2804267350725578</v>
      </c>
      <c r="G223" s="30">
        <f>(F168+F169+F180-F31*0.95*0.3)/(F175-(F183+F184)-(F185*1.2)+F52*0.3)</f>
        <v>4.5270958712370133</v>
      </c>
      <c r="H223" s="30">
        <f>(H168+H169+H180+H32*0.9*0.4+H53*0.4)/(H175-(H183+H184)-(H185*1.2))</f>
        <v>6.1670100770142904</v>
      </c>
      <c r="I223" s="30">
        <f>(H168+H169+H180-H32*0.9*0.4)/(H175-(H183+H184)-(H185*1.2)+H53*0.4)</f>
        <v>2.8117874290089779</v>
      </c>
      <c r="J223" s="30">
        <f>(J168+J169+J180+J50*0.1)/(J175-(J183+J184)-(J185*1.2))</f>
        <v>5.4382987426115443</v>
      </c>
      <c r="K223" s="30">
        <f>(J168+J169+J180)/(J175-(J183+J184)-(J185*1.2)+J50*0.1)</f>
        <v>4.2872498367202221</v>
      </c>
      <c r="M223" s="30">
        <f>(M168+M169+M180+M33*0.85*0.5+M54*0.5)/(M175-(M183+M184)-(M185*1.2))</f>
        <v>5.2965568398376197</v>
      </c>
      <c r="N223" s="30">
        <f>(M168+M169+M180-M33*0.85*0.5)/(M175-(M183+M184)-(M185*1.2)+M54*0.5)</f>
        <v>4.1049036364996194</v>
      </c>
      <c r="O223" s="25" t="b">
        <f t="shared" ref="O223:O225" si="105">IF(ABS(O191-O215)&lt;0.01, TRUE)</f>
        <v>1</v>
      </c>
      <c r="P223" s="30">
        <f>(P168+P169+P180)/(P175-(P183+P184)-(P185*1.2))</f>
        <v>5.1462445925918416</v>
      </c>
      <c r="Q223" s="30">
        <f>(P168+P169+P180)/(P175-(P183+P184)-(P185*1.2))</f>
        <v>5.1462445925918416</v>
      </c>
      <c r="R223" t="b">
        <f t="shared" si="93"/>
        <v>1</v>
      </c>
      <c r="W223" s="41" t="b">
        <f t="shared" si="94"/>
        <v>1</v>
      </c>
      <c r="AJ223" s="25" t="b">
        <f t="shared" si="95"/>
        <v>1</v>
      </c>
      <c r="AP223" s="25" t="b">
        <f t="shared" si="96"/>
        <v>1</v>
      </c>
      <c r="AV223" s="25" t="b">
        <f t="shared" ref="AV223:AV225" si="106">IF(ABS(AV191-AV215)&lt;0.01, TRUE)</f>
        <v>1</v>
      </c>
      <c r="BB223" s="25" t="b">
        <f t="shared" si="97"/>
        <v>1</v>
      </c>
      <c r="BH223" t="b">
        <f t="shared" si="98"/>
        <v>1</v>
      </c>
      <c r="BJ223" s="37" t="b">
        <f t="shared" si="99"/>
        <v>1</v>
      </c>
      <c r="BL223" s="37" t="b">
        <f t="shared" si="100"/>
        <v>1</v>
      </c>
      <c r="BQ223" s="37" t="b">
        <f t="shared" si="101"/>
        <v>1</v>
      </c>
      <c r="BS223" s="37" t="b">
        <f t="shared" si="102"/>
        <v>1</v>
      </c>
      <c r="CJ223" s="37" t="b">
        <f t="shared" si="103"/>
        <v>1</v>
      </c>
      <c r="CL223" s="37" t="b">
        <f t="shared" si="104"/>
        <v>1</v>
      </c>
    </row>
    <row r="224" spans="1:97" x14ac:dyDescent="0.25">
      <c r="A224" s="18" t="s">
        <v>6</v>
      </c>
      <c r="C224" s="25" t="b">
        <f t="shared" si="92"/>
        <v>1</v>
      </c>
      <c r="D224" s="30">
        <f>(D168+D51*0.2+D170+D181+D30*0.75*0.2)/(D176-(D183+D184)-((D185+D186)*1.2))</f>
        <v>3.5408423767371406</v>
      </c>
      <c r="E224" s="30">
        <f>(D168+D170+D181-D30*0.75*0.2)/(D176-(D183+D184)-(((D185+D186)*1.2)-D51*0.2))</f>
        <v>3.0768886034348464</v>
      </c>
      <c r="F224" s="30">
        <f>(F168+F52*0.3+F170+F181+F31*0.95*0.3)/(F176-(F183+F184)-((F185+F186)*1.2))</f>
        <v>3.7729455931938887</v>
      </c>
      <c r="G224" s="30">
        <f>(F168+F170+F181-F31*0.95*0.3)/(F176-(F183+F184)-((F185+F186)*1.2)+F52*0.3)</f>
        <v>3.3675824039626705</v>
      </c>
      <c r="H224" s="30">
        <f>(H168+H53*0.4+H170+H181+H32*0.85*0.4)/(H176-(H183+H184)-((H185+H186)*1.2))</f>
        <v>4.3401841801834671</v>
      </c>
      <c r="I224" s="30">
        <f>(H168+H170+H181-H32*0.85*0.4)/(H176-(H183+H184)-((H185+H186)*1.2)+H53*0.4)</f>
        <v>2.3392935992616239</v>
      </c>
      <c r="J224" s="30">
        <f>(J168+J50*0.1+J170+J181)/(J176-(J183+J184)-((J185+J186)*1.2))</f>
        <v>3.8731939180632904</v>
      </c>
      <c r="K224" s="30">
        <f>(J168+J170+J181)/(J176-(J183+J184)-((J185+J186)*1.2)+J50*0.1)</f>
        <v>3.2613192654092882</v>
      </c>
      <c r="M224" s="30">
        <f>(M168+M54*0.5+M170+M181+M33*0.75*0.5)/(M176-(M183+M184)-((M185+M186)*1.2))</f>
        <v>3.777772417301724</v>
      </c>
      <c r="N224" s="30">
        <f>(M168+M170+M181-M33*0.75*0.5)/(M176-(M183+M184)-((M185+M186)*1.2)+M54*0.5)</f>
        <v>3.1417265538090207</v>
      </c>
      <c r="O224" s="25" t="b">
        <f t="shared" si="105"/>
        <v>1</v>
      </c>
      <c r="P224" s="30">
        <f>(P168+P170+P181)/(P176-(P183+P184)-((P185+P186)*1.2))</f>
        <v>3.6900910187958957</v>
      </c>
      <c r="Q224" s="30">
        <f>(P168+P170+P181)/(P176-(P183+P184)-((P185+P186)*1.2))</f>
        <v>3.6900910187958957</v>
      </c>
      <c r="R224" t="b">
        <f t="shared" si="93"/>
        <v>1</v>
      </c>
      <c r="W224" s="41" t="b">
        <f t="shared" si="94"/>
        <v>1</v>
      </c>
      <c r="AJ224" s="25" t="b">
        <f t="shared" si="95"/>
        <v>1</v>
      </c>
      <c r="AP224" s="25" t="b">
        <f t="shared" si="96"/>
        <v>1</v>
      </c>
      <c r="AV224" s="25" t="b">
        <f t="shared" si="106"/>
        <v>1</v>
      </c>
      <c r="BB224" s="25" t="b">
        <f t="shared" si="97"/>
        <v>1</v>
      </c>
      <c r="BH224" t="b">
        <f t="shared" si="98"/>
        <v>1</v>
      </c>
      <c r="BJ224" s="37" t="b">
        <f t="shared" si="99"/>
        <v>1</v>
      </c>
      <c r="BL224" s="37" t="b">
        <f t="shared" si="100"/>
        <v>1</v>
      </c>
      <c r="BQ224" s="37" t="b">
        <f t="shared" si="101"/>
        <v>1</v>
      </c>
      <c r="BS224" s="37" t="b">
        <f t="shared" si="102"/>
        <v>1</v>
      </c>
      <c r="CJ224" s="37" t="b">
        <f t="shared" si="103"/>
        <v>1</v>
      </c>
      <c r="CL224" s="37" t="b">
        <f t="shared" si="104"/>
        <v>1</v>
      </c>
    </row>
    <row r="225" spans="1:90" x14ac:dyDescent="0.25">
      <c r="A225" s="18" t="s">
        <v>7</v>
      </c>
      <c r="C225" s="25" t="b">
        <f t="shared" si="92"/>
        <v>1</v>
      </c>
      <c r="D225" s="30">
        <f>(D168+D51*0.2+D171+D37*0.6*0.96*0.2+D172+D182+D30*0.6*0.2)/(D177-(D183+D184)-(D185+D186+D187)*1.2)</f>
        <v>2.7479150448580763</v>
      </c>
      <c r="E225" s="30">
        <f>(D168+D171-D37*0.6*0.96*0.2+D172+D182-D30*0.6*0.2)/(D177-(D183+D184)-(D185+D186+D187)*1.2+D51*0.2)</f>
        <v>2.3387516606907903</v>
      </c>
      <c r="F225" s="30">
        <f>(F168+F52*0.3+F171+F38*0.9*0.97*0.3+F172+F182+F31*0.9*0.3)/(F177-(F183+F184)-(F185+F186+F187)*1.2)</f>
        <v>2.675970122438641</v>
      </c>
      <c r="G225" s="30">
        <f>(F168+F171-F38*0.9*0.97*0.3+F172+F182-F31*0.9*0.3)/(F177-(F183+F184)-(F185+F186+F187)*1.2+F52*0.3)</f>
        <v>2.4269408180078345</v>
      </c>
      <c r="H225" s="30">
        <f>(H168+H53*0.4+H171+H39*0.75*0.97*0.4+H172+H182+H32*0.75*0.4)/(H177-(H183+H184)-(H185+H186+H187)*1.2)</f>
        <v>3.0580213475379909</v>
      </c>
      <c r="I225" s="30">
        <f>(H168+H171-H38*0.75*0.97*0.4+H172+H182-H32*0.75*0.4)/(H177-(H183+H184)-(H185+H186+H187)*1.2+H53*0.4)</f>
        <v>2.0888195754778196</v>
      </c>
      <c r="J225" s="30">
        <f>(J168+J50*0.1+J171+J172+J182)/(J177-(J183+J184)-(J185+J186+J187)*1.2)</f>
        <v>2.7507432219880084</v>
      </c>
      <c r="K225" s="30">
        <f>(J168+J171+J172+J182)/(J177-(J183+J184)-(J185+J186+J187)*1.2+J50*0.1)</f>
        <v>2.5092410065622528</v>
      </c>
      <c r="M225" s="30">
        <f>(M168+M54*0.5+M171+M39*0.6*0.96*0.5+M172+M182+M33*0.6*0.5)/(M177-(M183+M184)-(M185+M186+M187)*1.2)</f>
        <v>2.6185880001965587</v>
      </c>
      <c r="N225" s="30">
        <f>(M168+M171-M39*0.6*0.96*0.5+M172+M182-M33*0.6*0.5)/(M177-(M183+M184)-(M185+M186+M187)*1.2+M54*0.5)</f>
        <v>2.3689759392832892</v>
      </c>
      <c r="O225" s="25" t="b">
        <f t="shared" si="105"/>
        <v>1</v>
      </c>
      <c r="P225" s="30">
        <f>(P168+P171+P172+P182+P36*0.6*0.1*0.96)/(P177-(P183+P184)-(P185+P186+P187)*1.2)</f>
        <v>2.5939730161272947</v>
      </c>
      <c r="Q225" s="30">
        <f>(P168+P171+P172+P182-P36*0.6*0.1*0.96)/(P177-(P183+P184)-(P185+P186+P187)*1.2)</f>
        <v>2.5522177424695953</v>
      </c>
      <c r="R225" t="b">
        <f t="shared" si="93"/>
        <v>1</v>
      </c>
      <c r="W225" s="41" t="b">
        <f t="shared" si="94"/>
        <v>1</v>
      </c>
      <c r="AJ225" s="25" t="b">
        <f t="shared" si="95"/>
        <v>1</v>
      </c>
      <c r="AP225" s="25" t="b">
        <f t="shared" si="96"/>
        <v>1</v>
      </c>
      <c r="AV225" s="25" t="b">
        <f t="shared" si="106"/>
        <v>1</v>
      </c>
      <c r="BB225" s="25" t="b">
        <f t="shared" si="97"/>
        <v>1</v>
      </c>
      <c r="BH225" t="b">
        <f t="shared" si="98"/>
        <v>1</v>
      </c>
      <c r="BJ225" s="37" t="b">
        <f t="shared" si="99"/>
        <v>1</v>
      </c>
      <c r="BL225" s="37" t="b">
        <f t="shared" si="100"/>
        <v>1</v>
      </c>
      <c r="BQ225" s="37" t="b">
        <f t="shared" si="101"/>
        <v>1</v>
      </c>
      <c r="BS225" s="37" t="b">
        <f t="shared" si="102"/>
        <v>1</v>
      </c>
      <c r="CJ225" s="37" t="b">
        <f t="shared" si="103"/>
        <v>1</v>
      </c>
      <c r="CL225" s="37" t="b">
        <f t="shared" si="104"/>
        <v>1</v>
      </c>
    </row>
    <row r="226" spans="1:90" x14ac:dyDescent="0.25">
      <c r="D226" s="30"/>
      <c r="E226" s="30"/>
      <c r="F226" s="30"/>
      <c r="G226" s="30"/>
      <c r="H226" s="30"/>
      <c r="I226" s="30"/>
      <c r="J226" s="30"/>
      <c r="K226" s="30"/>
      <c r="M226" s="30"/>
      <c r="N226" s="30"/>
      <c r="P226" s="30"/>
      <c r="Q226" s="30"/>
    </row>
    <row r="227" spans="1:90" x14ac:dyDescent="0.25">
      <c r="D227" s="30"/>
      <c r="E227" s="30"/>
      <c r="F227" s="30"/>
      <c r="G227" s="30"/>
      <c r="H227" s="30"/>
      <c r="I227" s="30"/>
      <c r="J227" s="30"/>
      <c r="K227" s="30"/>
      <c r="M227" s="30"/>
      <c r="N227" s="30"/>
      <c r="P227" s="30"/>
      <c r="Q227" s="30"/>
    </row>
    <row r="228" spans="1:90" x14ac:dyDescent="0.25">
      <c r="A228" s="17" t="s">
        <v>192</v>
      </c>
      <c r="C228" s="25" t="s">
        <v>195</v>
      </c>
      <c r="D228" s="30" t="s">
        <v>199</v>
      </c>
      <c r="E228" s="30" t="s">
        <v>200</v>
      </c>
      <c r="F228" s="30" t="s">
        <v>201</v>
      </c>
      <c r="G228" s="30" t="s">
        <v>202</v>
      </c>
      <c r="H228" s="30" t="s">
        <v>203</v>
      </c>
      <c r="I228" s="30" t="s">
        <v>204</v>
      </c>
      <c r="J228" s="30" t="s">
        <v>205</v>
      </c>
      <c r="K228" s="30" t="s">
        <v>206</v>
      </c>
      <c r="M228" s="30" t="s">
        <v>208</v>
      </c>
      <c r="N228" s="30" t="s">
        <v>209</v>
      </c>
      <c r="P228" s="30" t="s">
        <v>210</v>
      </c>
      <c r="Q228" s="30" t="s">
        <v>211</v>
      </c>
    </row>
    <row r="229" spans="1:90" x14ac:dyDescent="0.25">
      <c r="A229" s="18" t="s">
        <v>3</v>
      </c>
      <c r="C229" s="25">
        <v>2.36</v>
      </c>
      <c r="D229" s="30">
        <v>2.5499999999999998</v>
      </c>
      <c r="E229" s="30">
        <v>1.97</v>
      </c>
      <c r="F229" s="30">
        <v>2.52</v>
      </c>
      <c r="G229" s="30">
        <v>2.04</v>
      </c>
      <c r="H229" s="30">
        <v>3.04</v>
      </c>
      <c r="I229" s="30">
        <v>1.4</v>
      </c>
      <c r="J229" s="30">
        <v>2.64</v>
      </c>
      <c r="K229" s="30">
        <v>1.83</v>
      </c>
      <c r="L229" s="25">
        <v>2.36</v>
      </c>
      <c r="M229" s="30">
        <v>2.81</v>
      </c>
      <c r="N229" s="30">
        <v>1.92</v>
      </c>
      <c r="O229" s="25">
        <v>2.2200000000000002</v>
      </c>
      <c r="P229" s="30">
        <v>2.4900000000000002</v>
      </c>
      <c r="Q229" s="30">
        <v>2.4900000000000002</v>
      </c>
      <c r="T229" s="25">
        <v>3.12</v>
      </c>
      <c r="Y229" s="25">
        <v>3.11</v>
      </c>
      <c r="AJ229" s="25">
        <v>2.88</v>
      </c>
      <c r="AP229" s="25">
        <v>2.88</v>
      </c>
      <c r="AV229" s="25">
        <v>2.83</v>
      </c>
      <c r="BB229" s="25">
        <v>2.88</v>
      </c>
      <c r="BI229" s="25">
        <v>3.23</v>
      </c>
    </row>
    <row r="230" spans="1:90" x14ac:dyDescent="0.25">
      <c r="A230" s="18" t="s">
        <v>4</v>
      </c>
      <c r="C230" s="25">
        <v>2.2200000000000002</v>
      </c>
      <c r="D230" s="30">
        <v>2.39</v>
      </c>
      <c r="E230" s="30">
        <v>1.91</v>
      </c>
      <c r="F230" s="30">
        <v>2.36</v>
      </c>
      <c r="G230" s="30">
        <v>1.96</v>
      </c>
      <c r="H230" s="30">
        <v>2.8</v>
      </c>
      <c r="I230" s="30">
        <v>1.41</v>
      </c>
      <c r="J230" s="30">
        <v>2.4700000000000002</v>
      </c>
      <c r="K230" s="30">
        <v>1.79</v>
      </c>
      <c r="L230" s="25">
        <v>2.2200000000000002</v>
      </c>
      <c r="M230" s="30">
        <v>2.61</v>
      </c>
      <c r="N230" s="30">
        <v>1.87</v>
      </c>
      <c r="O230" s="25">
        <v>2.11</v>
      </c>
      <c r="P230" s="30">
        <v>2.34</v>
      </c>
      <c r="Q230" s="30">
        <v>2.34</v>
      </c>
      <c r="T230" s="25">
        <v>2.65</v>
      </c>
      <c r="Y230" s="25">
        <v>2.63</v>
      </c>
      <c r="AJ230" s="25">
        <v>2.78</v>
      </c>
      <c r="AP230" s="25">
        <v>2.78</v>
      </c>
      <c r="AV230" s="25">
        <v>2.74</v>
      </c>
      <c r="BB230" s="25">
        <v>2.78</v>
      </c>
      <c r="BI230" s="25">
        <v>2.68</v>
      </c>
    </row>
    <row r="231" spans="1:90" x14ac:dyDescent="0.25">
      <c r="A231" s="18" t="s">
        <v>5</v>
      </c>
      <c r="C231" s="25">
        <v>5.67</v>
      </c>
      <c r="D231" s="30">
        <v>4.88</v>
      </c>
      <c r="E231" s="30">
        <v>4.0199999999999996</v>
      </c>
      <c r="F231" s="30">
        <v>5.28</v>
      </c>
      <c r="G231" s="30">
        <v>4.53</v>
      </c>
      <c r="H231" s="30">
        <v>6.17</v>
      </c>
      <c r="I231" s="30">
        <v>2.81</v>
      </c>
      <c r="J231" s="30">
        <v>5.44</v>
      </c>
      <c r="K231" s="30">
        <v>4.29</v>
      </c>
      <c r="L231" s="25">
        <v>5.2</v>
      </c>
      <c r="M231" s="30">
        <v>5.3</v>
      </c>
      <c r="N231" s="30">
        <v>4.0999999999999996</v>
      </c>
      <c r="O231" s="25">
        <v>5.2</v>
      </c>
      <c r="P231" s="30">
        <v>5.15</v>
      </c>
      <c r="Q231" s="30">
        <v>5.15</v>
      </c>
      <c r="T231" s="25">
        <v>8.6</v>
      </c>
      <c r="Y231" s="25">
        <v>8.6199999999999992</v>
      </c>
      <c r="AJ231" s="25">
        <v>8.4</v>
      </c>
      <c r="AP231" s="25">
        <v>8.4</v>
      </c>
      <c r="AV231" s="25">
        <v>8.4</v>
      </c>
      <c r="BB231" s="25">
        <v>8.4</v>
      </c>
      <c r="BI231" s="25">
        <v>9.5299999999999994</v>
      </c>
    </row>
    <row r="232" spans="1:90" x14ac:dyDescent="0.25">
      <c r="A232" s="18" t="s">
        <v>6</v>
      </c>
      <c r="C232" s="25">
        <v>3.99</v>
      </c>
      <c r="D232" s="30">
        <v>3.54</v>
      </c>
      <c r="E232" s="30">
        <v>3.08</v>
      </c>
      <c r="F232" s="30">
        <v>3.77</v>
      </c>
      <c r="G232" s="30">
        <v>3.37</v>
      </c>
      <c r="H232" s="30">
        <v>4.34</v>
      </c>
      <c r="I232" s="30">
        <v>2.34</v>
      </c>
      <c r="J232" s="30">
        <v>3.87</v>
      </c>
      <c r="K232" s="30">
        <v>3.26</v>
      </c>
      <c r="L232" s="25">
        <v>3.72</v>
      </c>
      <c r="M232" s="30">
        <v>3.78</v>
      </c>
      <c r="N232" s="30">
        <v>3.14</v>
      </c>
      <c r="O232" s="25">
        <v>3.71</v>
      </c>
      <c r="P232" s="30">
        <v>3.69</v>
      </c>
      <c r="Q232" s="30">
        <v>3.69</v>
      </c>
      <c r="T232" s="25">
        <v>4.49</v>
      </c>
      <c r="Y232" s="25">
        <v>4.5</v>
      </c>
      <c r="AJ232" s="25">
        <v>4.5599999999999996</v>
      </c>
      <c r="AP232" s="25">
        <v>4.5599999999999996</v>
      </c>
      <c r="AV232" s="25">
        <v>4.5599999999999996</v>
      </c>
      <c r="BB232" s="25">
        <v>4.5599999999999996</v>
      </c>
      <c r="BI232" s="25">
        <v>4.3499999999999996</v>
      </c>
    </row>
    <row r="233" spans="1:90" x14ac:dyDescent="0.25">
      <c r="A233" s="18" t="s">
        <v>7</v>
      </c>
      <c r="C233" s="25">
        <v>2.58</v>
      </c>
      <c r="D233" s="30">
        <v>2.75</v>
      </c>
      <c r="E233" s="30">
        <v>2.34</v>
      </c>
      <c r="F233" s="30">
        <v>2.68</v>
      </c>
      <c r="G233" s="30">
        <v>2.4300000000000002</v>
      </c>
      <c r="H233" s="30">
        <v>3.06</v>
      </c>
      <c r="I233" s="30">
        <v>2.08</v>
      </c>
      <c r="J233" s="30">
        <v>2.75</v>
      </c>
      <c r="K233" s="30">
        <v>2.5099999999999998</v>
      </c>
      <c r="L233" s="25">
        <v>2.68</v>
      </c>
      <c r="M233" s="30">
        <v>2.62</v>
      </c>
      <c r="N233" s="30">
        <v>2.37</v>
      </c>
      <c r="O233" s="25">
        <v>2.58</v>
      </c>
      <c r="P233" s="30">
        <v>2.59</v>
      </c>
      <c r="Q233" s="30">
        <v>2.5499999999999998</v>
      </c>
      <c r="T233" s="25">
        <v>2.85</v>
      </c>
      <c r="Y233" s="25">
        <v>2.86</v>
      </c>
      <c r="AJ233" s="25">
        <v>2.72</v>
      </c>
      <c r="AP233" s="25">
        <v>2.73</v>
      </c>
      <c r="AV233" s="25">
        <v>2.69</v>
      </c>
      <c r="BB233" s="25">
        <v>2.7</v>
      </c>
      <c r="BI233" s="25">
        <v>2.81</v>
      </c>
    </row>
    <row r="234" spans="1:90" x14ac:dyDescent="0.25">
      <c r="A234" s="18" t="s">
        <v>212</v>
      </c>
      <c r="D234" s="30"/>
      <c r="E234" s="30"/>
      <c r="F234" s="30"/>
      <c r="G234" s="30"/>
      <c r="H234" s="30"/>
      <c r="I234" s="30"/>
      <c r="J234" s="30"/>
      <c r="K234" s="30"/>
      <c r="M234" s="30"/>
      <c r="N234" s="30"/>
      <c r="P234" s="30"/>
      <c r="Q234" s="30"/>
    </row>
    <row r="235" spans="1:90" x14ac:dyDescent="0.25">
      <c r="D235" s="30"/>
      <c r="E235" s="30"/>
      <c r="F235" s="30"/>
      <c r="G235" s="30"/>
      <c r="H235" s="30"/>
      <c r="I235" s="30"/>
      <c r="J235" s="30"/>
      <c r="K235" s="30"/>
      <c r="M235" s="30"/>
      <c r="N235" s="30"/>
      <c r="P235" s="30"/>
      <c r="Q235" s="30"/>
    </row>
    <row r="236" spans="1:90" x14ac:dyDescent="0.25">
      <c r="A236" s="17" t="s">
        <v>193</v>
      </c>
      <c r="D236" s="30"/>
      <c r="E236" s="30"/>
      <c r="F236" s="30"/>
      <c r="G236" s="30"/>
      <c r="H236" s="30"/>
      <c r="I236" s="30"/>
      <c r="J236" s="30"/>
      <c r="K236" s="30"/>
      <c r="M236" s="30"/>
      <c r="N236" s="30"/>
      <c r="P236" s="30"/>
      <c r="Q236" s="30"/>
    </row>
    <row r="237" spans="1:90" x14ac:dyDescent="0.25">
      <c r="A237" s="18" t="s">
        <v>3</v>
      </c>
      <c r="C237" s="25" t="b">
        <f>IF(ABS(C189-C229)&lt;0.01, TRUE)</f>
        <v>1</v>
      </c>
      <c r="D237" s="30" t="b">
        <f t="shared" ref="D237:K237" si="107">IF(ABS(D221-D229)&lt;0.01, TRUE)</f>
        <v>1</v>
      </c>
      <c r="E237" s="30" t="b">
        <f t="shared" si="107"/>
        <v>1</v>
      </c>
      <c r="F237" s="30" t="b">
        <f t="shared" si="107"/>
        <v>1</v>
      </c>
      <c r="G237" s="30" t="b">
        <f t="shared" si="107"/>
        <v>1</v>
      </c>
      <c r="H237" s="30" t="b">
        <f t="shared" si="107"/>
        <v>1</v>
      </c>
      <c r="I237" s="30" t="b">
        <f t="shared" si="107"/>
        <v>1</v>
      </c>
      <c r="J237" s="30" t="b">
        <f t="shared" si="107"/>
        <v>1</v>
      </c>
      <c r="K237" s="30" t="b">
        <f t="shared" si="107"/>
        <v>1</v>
      </c>
      <c r="L237" s="25" t="b">
        <f>IF(ABS(L189-L229)&lt;0.01, TRUE)</f>
        <v>1</v>
      </c>
      <c r="M237" s="30" t="b">
        <f>IF(ABS(M221-M229)&lt;0.01, TRUE)</f>
        <v>1</v>
      </c>
      <c r="N237" s="30" t="b">
        <f>IF(ABS(N221-N229)&lt;0.01, TRUE)</f>
        <v>1</v>
      </c>
      <c r="O237" s="25" t="b">
        <f>IF(ABS(O189-O229)&lt;0.01, TRUE)</f>
        <v>1</v>
      </c>
      <c r="P237" s="30" t="b">
        <f>IF(ABS(P221-P229)&lt;0.01, TRUE)</f>
        <v>1</v>
      </c>
      <c r="Q237" s="30" t="b">
        <f>IF(ABS(Q221-Q229)&lt;0.01, TRUE)</f>
        <v>1</v>
      </c>
      <c r="T237" s="25" t="b">
        <f>IF(ABS(T189-T229)&lt;0.01, TRUE)</f>
        <v>1</v>
      </c>
      <c r="Y237" s="25" t="b">
        <f>IF(ABS(Y189-Y229)&lt;0.01, TRUE)</f>
        <v>1</v>
      </c>
      <c r="AJ237" s="25" t="b">
        <f>IF(ABS(AJ189-AJ229)&lt;0.01, TRUE)</f>
        <v>1</v>
      </c>
      <c r="AP237" s="25" t="b">
        <f>IF(ABS(AP189-AP229)&lt;0.01, TRUE)</f>
        <v>1</v>
      </c>
      <c r="AV237" s="25" t="b">
        <f>IF(ABS(AV189-AV229)&lt;0.01, TRUE)</f>
        <v>1</v>
      </c>
      <c r="BB237" s="25" t="b">
        <f>IF(ABS(BB189-BB229)&lt;0.01, TRUE)</f>
        <v>1</v>
      </c>
      <c r="BI237" s="25" t="b">
        <f>IF(ABS(BI189-BI229)&lt;0.01, TRUE)</f>
        <v>1</v>
      </c>
    </row>
    <row r="238" spans="1:90" x14ac:dyDescent="0.25">
      <c r="A238" s="18" t="s">
        <v>4</v>
      </c>
      <c r="C238" s="25" t="b">
        <f t="shared" ref="C238:C241" si="108">IF(ABS(C190-C230)&lt;0.01, TRUE)</f>
        <v>1</v>
      </c>
      <c r="D238" s="30" t="b">
        <f t="shared" ref="D238:K241" si="109">IF(ABS(D222-D230)&lt;0.01, TRUE)</f>
        <v>1</v>
      </c>
      <c r="E238" s="30" t="b">
        <f t="shared" si="109"/>
        <v>1</v>
      </c>
      <c r="F238" s="30" t="b">
        <f t="shared" si="109"/>
        <v>1</v>
      </c>
      <c r="G238" s="30" t="b">
        <f t="shared" si="109"/>
        <v>1</v>
      </c>
      <c r="H238" s="30" t="b">
        <f t="shared" si="109"/>
        <v>1</v>
      </c>
      <c r="I238" s="30" t="b">
        <f t="shared" si="109"/>
        <v>1</v>
      </c>
      <c r="J238" s="30" t="b">
        <f t="shared" si="109"/>
        <v>1</v>
      </c>
      <c r="K238" s="30" t="b">
        <f t="shared" si="109"/>
        <v>1</v>
      </c>
      <c r="L238" s="25" t="b">
        <f t="shared" ref="L238:L241" si="110">IF(ABS(L190-L230)&lt;0.01, TRUE)</f>
        <v>1</v>
      </c>
      <c r="M238" s="30" t="b">
        <f t="shared" ref="M238:N241" si="111">IF(ABS(M222-M230)&lt;0.01, TRUE)</f>
        <v>1</v>
      </c>
      <c r="N238" s="30" t="b">
        <f t="shared" si="111"/>
        <v>1</v>
      </c>
      <c r="O238" s="25" t="b">
        <f t="shared" ref="O238:O241" si="112">IF(ABS(O190-O230)&lt;0.01, TRUE)</f>
        <v>1</v>
      </c>
      <c r="P238" s="30" t="b">
        <f t="shared" ref="P238:Q241" si="113">IF(ABS(P222-P230)&lt;0.01, TRUE)</f>
        <v>1</v>
      </c>
      <c r="Q238" s="30" t="b">
        <f t="shared" si="113"/>
        <v>1</v>
      </c>
      <c r="T238" s="25" t="b">
        <f t="shared" ref="T238:T241" si="114">IF(ABS(T190-T230)&lt;0.01, TRUE)</f>
        <v>1</v>
      </c>
      <c r="Y238" s="25" t="b">
        <f t="shared" ref="Y238:Y241" si="115">IF(ABS(Y190-Y230)&lt;0.01, TRUE)</f>
        <v>1</v>
      </c>
      <c r="AJ238" s="25" t="b">
        <f t="shared" ref="AJ238:AJ241" si="116">IF(ABS(AJ190-AJ230)&lt;0.01, TRUE)</f>
        <v>1</v>
      </c>
      <c r="AP238" s="25" t="b">
        <f t="shared" ref="AP238:AP241" si="117">IF(ABS(AP190-AP230)&lt;0.01, TRUE)</f>
        <v>1</v>
      </c>
      <c r="AV238" s="25" t="b">
        <f t="shared" ref="AV238:AV241" si="118">IF(ABS(AV190-AV230)&lt;0.01, TRUE)</f>
        <v>1</v>
      </c>
      <c r="BB238" s="25" t="b">
        <f t="shared" ref="BB238:BB241" si="119">IF(ABS(BB190-BB230)&lt;0.01, TRUE)</f>
        <v>1</v>
      </c>
      <c r="BI238" s="25" t="b">
        <f t="shared" ref="BI238:BI241" si="120">IF(ABS(BI190-BI230)&lt;0.01, TRUE)</f>
        <v>1</v>
      </c>
    </row>
    <row r="239" spans="1:90" x14ac:dyDescent="0.25">
      <c r="A239" s="18" t="s">
        <v>5</v>
      </c>
      <c r="C239" s="25" t="b">
        <f t="shared" si="108"/>
        <v>1</v>
      </c>
      <c r="D239" s="30" t="b">
        <f t="shared" si="109"/>
        <v>1</v>
      </c>
      <c r="E239" s="30" t="b">
        <f t="shared" si="109"/>
        <v>1</v>
      </c>
      <c r="F239" s="30" t="b">
        <f t="shared" si="109"/>
        <v>1</v>
      </c>
      <c r="G239" s="30" t="b">
        <f t="shared" si="109"/>
        <v>1</v>
      </c>
      <c r="H239" s="30" t="b">
        <f t="shared" si="109"/>
        <v>1</v>
      </c>
      <c r="I239" s="30" t="b">
        <f t="shared" si="109"/>
        <v>1</v>
      </c>
      <c r="J239" s="30" t="b">
        <f t="shared" si="109"/>
        <v>1</v>
      </c>
      <c r="K239" s="30" t="b">
        <f t="shared" si="109"/>
        <v>1</v>
      </c>
      <c r="L239" s="25" t="b">
        <f t="shared" si="110"/>
        <v>1</v>
      </c>
      <c r="M239" s="30" t="b">
        <f t="shared" si="111"/>
        <v>1</v>
      </c>
      <c r="N239" s="30" t="b">
        <f t="shared" si="111"/>
        <v>1</v>
      </c>
      <c r="O239" s="25" t="b">
        <f t="shared" si="112"/>
        <v>1</v>
      </c>
      <c r="P239" s="30" t="b">
        <f t="shared" si="113"/>
        <v>1</v>
      </c>
      <c r="Q239" s="30" t="b">
        <f t="shared" si="113"/>
        <v>1</v>
      </c>
      <c r="T239" s="25" t="b">
        <f t="shared" si="114"/>
        <v>1</v>
      </c>
      <c r="Y239" s="25" t="b">
        <f t="shared" si="115"/>
        <v>1</v>
      </c>
      <c r="AJ239" s="25" t="b">
        <f t="shared" si="116"/>
        <v>1</v>
      </c>
      <c r="AP239" s="25" t="b">
        <f t="shared" si="117"/>
        <v>1</v>
      </c>
      <c r="AV239" s="25" t="b">
        <f t="shared" si="118"/>
        <v>1</v>
      </c>
      <c r="BB239" s="25" t="b">
        <f t="shared" si="119"/>
        <v>1</v>
      </c>
      <c r="BI239" s="25" t="b">
        <f t="shared" si="120"/>
        <v>1</v>
      </c>
    </row>
    <row r="240" spans="1:90" x14ac:dyDescent="0.25">
      <c r="A240" s="18" t="s">
        <v>6</v>
      </c>
      <c r="C240" s="25" t="b">
        <f t="shared" si="108"/>
        <v>1</v>
      </c>
      <c r="D240" s="30" t="b">
        <f t="shared" si="109"/>
        <v>1</v>
      </c>
      <c r="E240" s="30" t="b">
        <f t="shared" si="109"/>
        <v>1</v>
      </c>
      <c r="F240" s="30" t="b">
        <f t="shared" si="109"/>
        <v>1</v>
      </c>
      <c r="G240" s="30" t="b">
        <f t="shared" si="109"/>
        <v>1</v>
      </c>
      <c r="H240" s="30" t="b">
        <f t="shared" si="109"/>
        <v>1</v>
      </c>
      <c r="I240" s="30" t="b">
        <f t="shared" si="109"/>
        <v>1</v>
      </c>
      <c r="J240" s="30" t="b">
        <f t="shared" si="109"/>
        <v>1</v>
      </c>
      <c r="K240" s="30" t="b">
        <f t="shared" si="109"/>
        <v>1</v>
      </c>
      <c r="L240" s="25" t="b">
        <f t="shared" si="110"/>
        <v>1</v>
      </c>
      <c r="M240" s="30" t="b">
        <f t="shared" si="111"/>
        <v>1</v>
      </c>
      <c r="N240" s="30" t="b">
        <f t="shared" si="111"/>
        <v>1</v>
      </c>
      <c r="O240" s="25" t="b">
        <f t="shared" si="112"/>
        <v>1</v>
      </c>
      <c r="P240" s="30" t="b">
        <f t="shared" si="113"/>
        <v>1</v>
      </c>
      <c r="Q240" s="30" t="b">
        <f t="shared" si="113"/>
        <v>1</v>
      </c>
      <c r="T240" s="25" t="b">
        <f t="shared" si="114"/>
        <v>1</v>
      </c>
      <c r="Y240" s="25" t="b">
        <f t="shared" si="115"/>
        <v>1</v>
      </c>
      <c r="AJ240" s="25" t="b">
        <f t="shared" si="116"/>
        <v>1</v>
      </c>
      <c r="AP240" s="25" t="b">
        <f t="shared" si="117"/>
        <v>1</v>
      </c>
      <c r="AV240" s="25" t="b">
        <f t="shared" si="118"/>
        <v>1</v>
      </c>
      <c r="BB240" s="25" t="b">
        <f t="shared" si="119"/>
        <v>1</v>
      </c>
      <c r="BI240" s="25" t="b">
        <f t="shared" si="120"/>
        <v>1</v>
      </c>
    </row>
    <row r="241" spans="1:61" x14ac:dyDescent="0.25">
      <c r="A241" s="18" t="s">
        <v>7</v>
      </c>
      <c r="C241" s="25" t="b">
        <f t="shared" si="108"/>
        <v>1</v>
      </c>
      <c r="D241" s="30" t="b">
        <f t="shared" si="109"/>
        <v>1</v>
      </c>
      <c r="E241" s="30" t="b">
        <f t="shared" si="109"/>
        <v>1</v>
      </c>
      <c r="F241" s="30" t="b">
        <f t="shared" si="109"/>
        <v>1</v>
      </c>
      <c r="G241" s="30" t="b">
        <f t="shared" si="109"/>
        <v>1</v>
      </c>
      <c r="H241" s="30" t="b">
        <f t="shared" si="109"/>
        <v>1</v>
      </c>
      <c r="I241" s="30" t="b">
        <f t="shared" si="109"/>
        <v>1</v>
      </c>
      <c r="J241" s="30" t="b">
        <f t="shared" si="109"/>
        <v>1</v>
      </c>
      <c r="K241" s="30" t="b">
        <f t="shared" si="109"/>
        <v>1</v>
      </c>
      <c r="L241" s="25" t="b">
        <f t="shared" si="110"/>
        <v>1</v>
      </c>
      <c r="M241" s="30" t="b">
        <f t="shared" si="111"/>
        <v>1</v>
      </c>
      <c r="N241" s="30" t="b">
        <f t="shared" si="111"/>
        <v>1</v>
      </c>
      <c r="O241" s="25" t="b">
        <f t="shared" si="112"/>
        <v>1</v>
      </c>
      <c r="P241" s="30" t="b">
        <f t="shared" si="113"/>
        <v>1</v>
      </c>
      <c r="Q241" s="30" t="b">
        <f t="shared" si="113"/>
        <v>1</v>
      </c>
      <c r="T241" s="25" t="b">
        <f t="shared" si="114"/>
        <v>1</v>
      </c>
      <c r="Y241" s="25" t="b">
        <f t="shared" si="115"/>
        <v>1</v>
      </c>
      <c r="AJ241" s="25" t="b">
        <f t="shared" si="116"/>
        <v>1</v>
      </c>
      <c r="AP241" s="25" t="b">
        <f t="shared" si="117"/>
        <v>1</v>
      </c>
      <c r="AV241" s="25" t="b">
        <f t="shared" si="118"/>
        <v>1</v>
      </c>
      <c r="BB241" s="25" t="b">
        <f t="shared" si="119"/>
        <v>1</v>
      </c>
      <c r="BI241" s="25" t="b">
        <f t="shared" si="120"/>
        <v>1</v>
      </c>
    </row>
    <row r="244" spans="1:61" x14ac:dyDescent="0.25">
      <c r="A244" s="17" t="s">
        <v>194</v>
      </c>
      <c r="C244" s="25" t="s">
        <v>196</v>
      </c>
      <c r="D244" s="32" t="s">
        <v>213</v>
      </c>
      <c r="E244" s="33" t="s">
        <v>214</v>
      </c>
    </row>
    <row r="245" spans="1:61" x14ac:dyDescent="0.25">
      <c r="A245" s="18" t="s">
        <v>3</v>
      </c>
      <c r="C245" s="25">
        <v>2.36</v>
      </c>
      <c r="D245" s="33">
        <f>(D168+D178)/(D173-D183)</f>
        <v>2.357458980355807</v>
      </c>
      <c r="E245" s="33">
        <v>2.36</v>
      </c>
      <c r="L245" s="25">
        <v>2.36</v>
      </c>
      <c r="O245" s="25">
        <v>2.2200000000000002</v>
      </c>
      <c r="T245" s="25">
        <v>3.12</v>
      </c>
      <c r="Y245" s="25">
        <v>3.11</v>
      </c>
      <c r="AJ245" s="25">
        <v>2.88</v>
      </c>
      <c r="AP245" s="25">
        <v>2.88</v>
      </c>
      <c r="AV245" s="25">
        <v>2.83</v>
      </c>
      <c r="BB245" s="25">
        <v>2.88</v>
      </c>
      <c r="BI245" s="25">
        <v>3.23</v>
      </c>
    </row>
    <row r="246" spans="1:61" x14ac:dyDescent="0.25">
      <c r="A246" s="18" t="s">
        <v>4</v>
      </c>
      <c r="C246" s="25">
        <v>2.2200000000000002</v>
      </c>
      <c r="D246" s="33">
        <f>(D168+D179)/(D174-(D184+D183))</f>
        <v>2.2238441710465171</v>
      </c>
      <c r="E246" s="33">
        <v>2.2200000000000002</v>
      </c>
      <c r="L246" s="25">
        <v>2.2200000000000002</v>
      </c>
      <c r="O246" s="25">
        <v>2.11</v>
      </c>
      <c r="T246" s="25">
        <v>2.65</v>
      </c>
      <c r="Y246" s="25">
        <v>2.63</v>
      </c>
      <c r="AJ246" s="25">
        <v>2.78</v>
      </c>
      <c r="AP246" s="25">
        <v>2.78</v>
      </c>
      <c r="AV246" s="25">
        <v>2.74</v>
      </c>
      <c r="BB246" s="25">
        <v>2.78</v>
      </c>
      <c r="BI246" s="25">
        <v>2.68</v>
      </c>
    </row>
    <row r="247" spans="1:61" x14ac:dyDescent="0.25">
      <c r="A247" s="18" t="s">
        <v>5</v>
      </c>
      <c r="C247" s="25">
        <v>5.67</v>
      </c>
      <c r="D247" s="33">
        <f>(D168+D169+D180)/(D175-(D183+D184)-(D185))</f>
        <v>4.7516853972136479</v>
      </c>
      <c r="E247" s="33">
        <v>4.75</v>
      </c>
      <c r="L247" s="25">
        <v>5.2</v>
      </c>
      <c r="O247" s="25">
        <v>5.2</v>
      </c>
      <c r="T247" s="25">
        <v>8.6</v>
      </c>
      <c r="Y247" s="25">
        <v>8.6199999999999992</v>
      </c>
      <c r="AJ247" s="25">
        <v>8.4</v>
      </c>
      <c r="AP247" s="25">
        <v>8.4</v>
      </c>
      <c r="AV247" s="25">
        <v>8.4</v>
      </c>
      <c r="BB247" s="25">
        <v>8.4</v>
      </c>
      <c r="BI247" s="25">
        <v>9.5299999999999994</v>
      </c>
    </row>
    <row r="248" spans="1:61" x14ac:dyDescent="0.25">
      <c r="A248" s="18" t="s">
        <v>6</v>
      </c>
      <c r="C248" s="25">
        <v>3.99</v>
      </c>
      <c r="D248" s="33">
        <f>(D168+D170+D181)/(D176-(D183+D184)-((D185+D186)))</f>
        <v>3.5352230874788542</v>
      </c>
      <c r="E248" s="33">
        <v>3.54</v>
      </c>
      <c r="L248" s="25">
        <v>3.72</v>
      </c>
      <c r="O248" s="25">
        <v>3.71</v>
      </c>
      <c r="T248" s="25">
        <v>4.49</v>
      </c>
      <c r="Y248" s="25">
        <v>4.5</v>
      </c>
      <c r="AJ248" s="25">
        <v>4.5599999999999996</v>
      </c>
      <c r="AP248" s="25">
        <v>4.5599999999999996</v>
      </c>
      <c r="AV248" s="25">
        <v>4.5599999999999996</v>
      </c>
      <c r="BB248" s="25">
        <v>4.5599999999999996</v>
      </c>
      <c r="BI248" s="25">
        <v>4.3499999999999996</v>
      </c>
    </row>
    <row r="249" spans="1:61" x14ac:dyDescent="0.25">
      <c r="A249" s="18" t="s">
        <v>7</v>
      </c>
      <c r="C249" s="25">
        <v>2.58</v>
      </c>
      <c r="D249" s="33">
        <f>(D168+D171+D172+D182)/(D177-(D183+D184)-(D185+D186+D187))</f>
        <v>2.7827839735975384</v>
      </c>
      <c r="E249" s="33">
        <v>2.78</v>
      </c>
      <c r="L249" s="25">
        <v>2.68</v>
      </c>
      <c r="O249" s="25">
        <v>2.58</v>
      </c>
      <c r="T249" s="25">
        <v>2.85</v>
      </c>
      <c r="Y249" s="25">
        <v>2.86</v>
      </c>
      <c r="AJ249" s="25">
        <v>2.72</v>
      </c>
      <c r="AP249" s="25">
        <v>2.73</v>
      </c>
      <c r="AV249" s="25">
        <v>2.69</v>
      </c>
      <c r="BB249" s="25">
        <v>2.7</v>
      </c>
      <c r="BI249" s="25">
        <v>2.81</v>
      </c>
    </row>
    <row r="250" spans="1:61" x14ac:dyDescent="0.25">
      <c r="D250" s="33"/>
    </row>
    <row r="251" spans="1:61" x14ac:dyDescent="0.25">
      <c r="D251" s="33"/>
    </row>
    <row r="252" spans="1:61" x14ac:dyDescent="0.25">
      <c r="A252" s="17" t="s">
        <v>193</v>
      </c>
      <c r="D252" s="33"/>
    </row>
    <row r="253" spans="1:61" x14ac:dyDescent="0.25">
      <c r="A253" s="18" t="s">
        <v>3</v>
      </c>
      <c r="C253" s="25" t="b">
        <f>IF(ABS(C189-C245)&lt;0.01, TRUE)</f>
        <v>1</v>
      </c>
      <c r="D253" s="33" t="b">
        <f>IF(ABS(D245-E245)&lt;0.01, TRUE)</f>
        <v>1</v>
      </c>
      <c r="L253" s="25" t="b">
        <f>IF(ABS(L189-L245)&lt;0.01, TRUE)</f>
        <v>1</v>
      </c>
      <c r="O253" s="25" t="b">
        <f>IF(ABS(O189-O245)&lt;0.01, TRUE)</f>
        <v>1</v>
      </c>
      <c r="T253" s="25" t="b">
        <f>IF(ABS(T189-T245)&lt;0.01, TRUE)</f>
        <v>1</v>
      </c>
      <c r="Y253" s="25" t="b">
        <f>IF(ABS(Y189-Y245)&lt;0.01, TRUE)</f>
        <v>1</v>
      </c>
      <c r="AJ253" s="25" t="b">
        <f>IF(ABS(AJ189-AJ245)&lt;0.01, TRUE)</f>
        <v>1</v>
      </c>
      <c r="AP253" s="25" t="b">
        <f>IF(ABS(AP189-AP245)&lt;0.01, TRUE)</f>
        <v>1</v>
      </c>
      <c r="AV253" s="25" t="b">
        <f>IF(ABS(AV189-AV245)&lt;0.01, TRUE)</f>
        <v>1</v>
      </c>
      <c r="BB253" s="25" t="b">
        <f>IF(ABS(BB189-BB245)&lt;0.01, TRUE)</f>
        <v>1</v>
      </c>
      <c r="BI253" s="25" t="b">
        <f>IF(ABS(BI189-BI245)&lt;0.01, TRUE)</f>
        <v>1</v>
      </c>
    </row>
    <row r="254" spans="1:61" x14ac:dyDescent="0.25">
      <c r="A254" s="18" t="s">
        <v>4</v>
      </c>
      <c r="C254" s="25" t="b">
        <f t="shared" ref="C254:C257" si="121">IF(ABS(C190-C246)&lt;0.01, TRUE)</f>
        <v>1</v>
      </c>
      <c r="D254" s="33" t="b">
        <f>IF(ABS(D246-E246)&lt;0.01, TRUE)</f>
        <v>1</v>
      </c>
      <c r="L254" s="25" t="b">
        <f t="shared" ref="L254:L257" si="122">IF(ABS(L190-L246)&lt;0.01, TRUE)</f>
        <v>1</v>
      </c>
      <c r="O254" s="25" t="b">
        <f t="shared" ref="O254:O257" si="123">IF(ABS(O190-O246)&lt;0.01, TRUE)</f>
        <v>1</v>
      </c>
      <c r="T254" s="25" t="b">
        <f t="shared" ref="T254:T257" si="124">IF(ABS(T190-T246)&lt;0.01, TRUE)</f>
        <v>1</v>
      </c>
      <c r="Y254" s="25" t="b">
        <f t="shared" ref="Y254:Y257" si="125">IF(ABS(Y190-Y246)&lt;0.01, TRUE)</f>
        <v>1</v>
      </c>
      <c r="AJ254" s="25" t="b">
        <f t="shared" ref="AJ254:AJ257" si="126">IF(ABS(AJ190-AJ246)&lt;0.01, TRUE)</f>
        <v>1</v>
      </c>
      <c r="AP254" s="25" t="b">
        <f t="shared" ref="AP254:AP257" si="127">IF(ABS(AP190-AP246)&lt;0.01, TRUE)</f>
        <v>1</v>
      </c>
      <c r="AV254" s="25" t="b">
        <f t="shared" ref="AV254:AV257" si="128">IF(ABS(AV190-AV246)&lt;0.01, TRUE)</f>
        <v>1</v>
      </c>
      <c r="BB254" s="25" t="b">
        <f t="shared" ref="BB254:BB257" si="129">IF(ABS(BB190-BB246)&lt;0.01, TRUE)</f>
        <v>1</v>
      </c>
      <c r="BI254" s="25" t="b">
        <f t="shared" ref="BI254:BI257" si="130">IF(ABS(BI190-BI246)&lt;0.01, TRUE)</f>
        <v>1</v>
      </c>
    </row>
    <row r="255" spans="1:61" x14ac:dyDescent="0.25">
      <c r="A255" s="18" t="s">
        <v>5</v>
      </c>
      <c r="C255" s="25" t="b">
        <f t="shared" si="121"/>
        <v>1</v>
      </c>
      <c r="D255" s="33" t="b">
        <f>IF(ABS(D247-E247)&lt;0.01, TRUE)</f>
        <v>1</v>
      </c>
      <c r="L255" s="25" t="b">
        <f t="shared" si="122"/>
        <v>1</v>
      </c>
      <c r="O255" s="25" t="b">
        <f t="shared" si="123"/>
        <v>1</v>
      </c>
      <c r="T255" s="25" t="b">
        <f t="shared" si="124"/>
        <v>1</v>
      </c>
      <c r="Y255" s="25" t="b">
        <f t="shared" si="125"/>
        <v>1</v>
      </c>
      <c r="AJ255" s="25" t="b">
        <f t="shared" si="126"/>
        <v>1</v>
      </c>
      <c r="AP255" s="25" t="b">
        <f t="shared" si="127"/>
        <v>1</v>
      </c>
      <c r="AV255" s="25" t="b">
        <f t="shared" si="128"/>
        <v>1</v>
      </c>
      <c r="BB255" s="25" t="b">
        <f t="shared" si="129"/>
        <v>1</v>
      </c>
      <c r="BI255" s="25" t="b">
        <f t="shared" si="130"/>
        <v>1</v>
      </c>
    </row>
    <row r="256" spans="1:61" x14ac:dyDescent="0.25">
      <c r="A256" s="18" t="s">
        <v>6</v>
      </c>
      <c r="C256" s="25" t="b">
        <f t="shared" si="121"/>
        <v>1</v>
      </c>
      <c r="D256" s="33" t="b">
        <f>IF(ABS(D248-E248)&lt;0.01, TRUE)</f>
        <v>1</v>
      </c>
      <c r="L256" s="25" t="b">
        <f t="shared" si="122"/>
        <v>1</v>
      </c>
      <c r="O256" s="25" t="b">
        <f t="shared" si="123"/>
        <v>1</v>
      </c>
      <c r="T256" s="25" t="b">
        <f t="shared" si="124"/>
        <v>1</v>
      </c>
      <c r="Y256" s="25" t="b">
        <f t="shared" si="125"/>
        <v>1</v>
      </c>
      <c r="AJ256" s="25" t="b">
        <f t="shared" si="126"/>
        <v>1</v>
      </c>
      <c r="AP256" s="25" t="b">
        <f t="shared" si="127"/>
        <v>1</v>
      </c>
      <c r="AV256" s="25" t="b">
        <f t="shared" si="128"/>
        <v>1</v>
      </c>
      <c r="BB256" s="25" t="b">
        <f t="shared" si="129"/>
        <v>1</v>
      </c>
      <c r="BI256" s="25" t="b">
        <f t="shared" si="130"/>
        <v>1</v>
      </c>
    </row>
    <row r="257" spans="1:61" x14ac:dyDescent="0.25">
      <c r="A257" s="18" t="s">
        <v>7</v>
      </c>
      <c r="C257" s="25" t="b">
        <f t="shared" si="121"/>
        <v>1</v>
      </c>
      <c r="D257" s="33" t="b">
        <f>IF(ABS(D249-E249)&lt;0.01, TRUE)</f>
        <v>1</v>
      </c>
      <c r="L257" s="25" t="b">
        <f t="shared" si="122"/>
        <v>1</v>
      </c>
      <c r="O257" s="25" t="b">
        <f t="shared" si="123"/>
        <v>1</v>
      </c>
      <c r="T257" s="25" t="b">
        <f t="shared" si="124"/>
        <v>1</v>
      </c>
      <c r="Y257" s="25" t="b">
        <f t="shared" si="125"/>
        <v>1</v>
      </c>
      <c r="AJ257" s="25" t="b">
        <f t="shared" si="126"/>
        <v>1</v>
      </c>
      <c r="AP257" s="25" t="b">
        <f t="shared" si="127"/>
        <v>1</v>
      </c>
      <c r="AV257" s="25" t="b">
        <f t="shared" si="128"/>
        <v>1</v>
      </c>
      <c r="BB257" s="25" t="b">
        <f t="shared" si="129"/>
        <v>1</v>
      </c>
      <c r="BI257" s="25" t="b">
        <f t="shared" si="130"/>
        <v>1</v>
      </c>
    </row>
    <row r="258" spans="1:61" ht="15.75" thickBot="1" x14ac:dyDescent="0.3"/>
    <row r="259" spans="1:61" x14ac:dyDescent="0.25">
      <c r="A259" s="17" t="s">
        <v>216</v>
      </c>
      <c r="AC259" s="46" t="s">
        <v>223</v>
      </c>
      <c r="AD259" s="47" t="s">
        <v>224</v>
      </c>
      <c r="AE259" s="48" t="s">
        <v>223</v>
      </c>
      <c r="AF259" s="48"/>
      <c r="AG259" s="48"/>
      <c r="AH259" s="48"/>
      <c r="AI259" s="48"/>
      <c r="AJ259" s="49"/>
      <c r="AK259" s="50"/>
      <c r="AL259" s="50"/>
      <c r="AM259" s="50"/>
      <c r="AN259" s="50"/>
      <c r="AO259" s="48"/>
      <c r="AP259" s="49"/>
      <c r="AQ259" s="48"/>
      <c r="AR259" s="48"/>
      <c r="AS259" s="48"/>
      <c r="AT259" s="48"/>
      <c r="AU259" s="48"/>
      <c r="AV259" s="49"/>
      <c r="AW259" s="48"/>
      <c r="AX259" s="48"/>
      <c r="AY259" s="48"/>
      <c r="AZ259" s="48"/>
      <c r="BA259" s="48"/>
      <c r="BB259" s="49"/>
      <c r="BC259" s="48"/>
      <c r="BD259" s="48"/>
      <c r="BE259" s="48"/>
      <c r="BF259" s="47" t="s">
        <v>224</v>
      </c>
      <c r="BG259" s="51" t="s">
        <v>223</v>
      </c>
    </row>
    <row r="260" spans="1:61" x14ac:dyDescent="0.25">
      <c r="A260" s="17" t="s">
        <v>217</v>
      </c>
      <c r="AC260" s="52" t="s">
        <v>231</v>
      </c>
      <c r="AD260" s="53" t="s">
        <v>225</v>
      </c>
      <c r="AE260" t="s">
        <v>231</v>
      </c>
      <c r="BF260" s="53" t="s">
        <v>232</v>
      </c>
      <c r="BG260" s="54" t="s">
        <v>231</v>
      </c>
    </row>
    <row r="261" spans="1:61" x14ac:dyDescent="0.25">
      <c r="A261" s="18" t="s">
        <v>3</v>
      </c>
      <c r="AC261" s="52">
        <v>3.39</v>
      </c>
      <c r="AD261" s="15">
        <f>(AD168+AD178)/((AD51*0.1+AD50*0.05+AD52*0.05+AD53*0.1+AD54*0.15)-AD183)</f>
        <v>3.3936320012962504</v>
      </c>
      <c r="AE261" s="15">
        <f t="shared" ref="AE261:BE261" si="131">(AE168+AE178)/((AE51*0.1+AE50*0.05+AE52*0.05+AE53*0.1+AE54*0.15)-AE183)</f>
        <v>3.3936320012962504</v>
      </c>
      <c r="AF261" s="15">
        <f t="shared" si="131"/>
        <v>3.1022562332163997</v>
      </c>
      <c r="AG261" s="15">
        <f t="shared" si="131"/>
        <v>3.1022562332163997</v>
      </c>
      <c r="AH261" s="15">
        <f t="shared" si="131"/>
        <v>3.1022562332163997</v>
      </c>
      <c r="AI261" s="15">
        <f t="shared" si="131"/>
        <v>3.1022562332163997</v>
      </c>
      <c r="AJ261" s="15">
        <f t="shared" si="131"/>
        <v>3.1022562332163997</v>
      </c>
      <c r="AK261" s="15">
        <f t="shared" si="131"/>
        <v>3.1022562332163997</v>
      </c>
      <c r="AL261" s="15">
        <f t="shared" si="131"/>
        <v>3.1022562332163997</v>
      </c>
      <c r="AM261" s="15">
        <f t="shared" si="131"/>
        <v>3.1022562332163997</v>
      </c>
      <c r="AN261" s="15">
        <f t="shared" si="131"/>
        <v>3.1022562332163997</v>
      </c>
      <c r="AO261" s="15">
        <f t="shared" si="131"/>
        <v>3.1022562332163997</v>
      </c>
      <c r="AP261" s="15">
        <f t="shared" si="131"/>
        <v>3.1022562332163997</v>
      </c>
      <c r="AQ261" s="15">
        <f t="shared" si="131"/>
        <v>3.1022562332163997</v>
      </c>
      <c r="AR261" s="15">
        <f t="shared" si="131"/>
        <v>3.1022562332163997</v>
      </c>
      <c r="AS261" s="15">
        <f t="shared" si="131"/>
        <v>3.1022562332163997</v>
      </c>
      <c r="AT261" s="15">
        <f t="shared" si="131"/>
        <v>3.1022562332163997</v>
      </c>
      <c r="AU261" s="15">
        <f t="shared" si="131"/>
        <v>3.1519410463886288</v>
      </c>
      <c r="AV261" s="15">
        <f t="shared" si="131"/>
        <v>3.0525714200441705</v>
      </c>
      <c r="AW261" s="15">
        <f t="shared" si="131"/>
        <v>3.1395198430955715</v>
      </c>
      <c r="AX261" s="15">
        <f t="shared" si="131"/>
        <v>3.0649926233372278</v>
      </c>
      <c r="AY261" s="15">
        <f t="shared" si="131"/>
        <v>3.1022562332163997</v>
      </c>
      <c r="AZ261" s="15">
        <f t="shared" si="131"/>
        <v>3.1022562332163997</v>
      </c>
      <c r="BA261" s="15">
        <f t="shared" si="131"/>
        <v>3.1022562332163997</v>
      </c>
      <c r="BB261" s="15">
        <f t="shared" si="131"/>
        <v>3.1022562332163997</v>
      </c>
      <c r="BC261" s="15">
        <f t="shared" si="131"/>
        <v>3.1022562332163997</v>
      </c>
      <c r="BD261" s="15">
        <f t="shared" si="131"/>
        <v>3.1022562332163997</v>
      </c>
      <c r="BE261" s="15">
        <f t="shared" si="131"/>
        <v>3.1022562332163997</v>
      </c>
      <c r="BF261" s="15">
        <f>(BF168+BF178)/((BF51*0.2+BF50*0.05+BF52*0.05+BF53*0.1+BF54*0.15)-BF183)</f>
        <v>2.6812747663547762</v>
      </c>
      <c r="BG261" s="54">
        <v>2.68</v>
      </c>
    </row>
    <row r="262" spans="1:61" x14ac:dyDescent="0.25">
      <c r="A262" s="18" t="s">
        <v>4</v>
      </c>
      <c r="AC262" s="52">
        <v>2.46</v>
      </c>
      <c r="AD262" s="15">
        <f>(AD168+AD179)/((AD50*0.05+AD51*0.2+AD52*0.05+AD53*0.1+AD54*0.15)-(AD184+AD183))</f>
        <v>2.4554839786542502</v>
      </c>
      <c r="AE262" s="15">
        <f t="shared" ref="AE262:BE262" si="132">(AE168+AE179)/((AE50*0.05+AE51*0.2+AE52*0.05+AE53*0.1+AE54*0.15)-(AE184+AE183))</f>
        <v>2.4554839786542502</v>
      </c>
      <c r="AF262" s="15">
        <f t="shared" si="132"/>
        <v>2.6062281240053871</v>
      </c>
      <c r="AG262" s="15">
        <f t="shared" si="132"/>
        <v>2.6062281240053871</v>
      </c>
      <c r="AH262" s="15">
        <f t="shared" si="132"/>
        <v>2.6062281240053871</v>
      </c>
      <c r="AI262" s="15">
        <f t="shared" si="132"/>
        <v>2.6062281240053871</v>
      </c>
      <c r="AJ262" s="15">
        <f t="shared" si="132"/>
        <v>2.6062281240053871</v>
      </c>
      <c r="AK262" s="15">
        <f t="shared" si="132"/>
        <v>2.6062281240053871</v>
      </c>
      <c r="AL262" s="15">
        <f t="shared" si="132"/>
        <v>2.6062281240053871</v>
      </c>
      <c r="AM262" s="15">
        <f t="shared" si="132"/>
        <v>2.6062281240053871</v>
      </c>
      <c r="AN262" s="15">
        <f t="shared" si="132"/>
        <v>2.6062281240053871</v>
      </c>
      <c r="AO262" s="15">
        <f t="shared" si="132"/>
        <v>2.6062281240053871</v>
      </c>
      <c r="AP262" s="15">
        <f t="shared" si="132"/>
        <v>2.6062281240053871</v>
      </c>
      <c r="AQ262" s="15">
        <f t="shared" si="132"/>
        <v>2.6062281240053871</v>
      </c>
      <c r="AR262" s="15">
        <f t="shared" si="132"/>
        <v>2.6062281240053871</v>
      </c>
      <c r="AS262" s="15">
        <f t="shared" si="132"/>
        <v>2.6062281240053871</v>
      </c>
      <c r="AT262" s="15">
        <f t="shared" si="132"/>
        <v>2.6062281240053871</v>
      </c>
      <c r="AU262" s="15">
        <f t="shared" si="132"/>
        <v>2.6466281233158711</v>
      </c>
      <c r="AV262" s="15">
        <f t="shared" si="132"/>
        <v>2.5658281246949035</v>
      </c>
      <c r="AW262" s="15">
        <f t="shared" si="132"/>
        <v>2.6365281234882501</v>
      </c>
      <c r="AX262" s="15">
        <f t="shared" si="132"/>
        <v>2.5759281245225245</v>
      </c>
      <c r="AY262" s="15">
        <f t="shared" si="132"/>
        <v>2.6062281240053871</v>
      </c>
      <c r="AZ262" s="15">
        <f t="shared" si="132"/>
        <v>2.6062281240053871</v>
      </c>
      <c r="BA262" s="15">
        <f t="shared" si="132"/>
        <v>2.6062281240053871</v>
      </c>
      <c r="BB262" s="15">
        <f t="shared" si="132"/>
        <v>2.6062281240053871</v>
      </c>
      <c r="BC262" s="15">
        <f t="shared" si="132"/>
        <v>2.6062281240053871</v>
      </c>
      <c r="BD262" s="15">
        <f t="shared" si="132"/>
        <v>2.6062281240053871</v>
      </c>
      <c r="BE262" s="15">
        <f t="shared" si="132"/>
        <v>2.6062281240053871</v>
      </c>
      <c r="BF262" s="15">
        <f>(BF168+BF179)/((BF50*0.05+BF51*0.1+BF52*0.05+BF53*0.1+BF54*0.15)-(BF184+BF183))</f>
        <v>2.9876534973259328</v>
      </c>
      <c r="BG262" s="54">
        <v>2.99</v>
      </c>
    </row>
    <row r="263" spans="1:61" x14ac:dyDescent="0.25">
      <c r="A263" s="18" t="s">
        <v>5</v>
      </c>
      <c r="AC263" s="52">
        <v>9.59</v>
      </c>
      <c r="AD263" s="15">
        <f>(AD168+(AD25+AD26+AD27)+(AD30*0.92)+(AD31*0.95)+(AD32*0.9)+(AD33*0.85)+AD180)/((AD50*0.05+AD51*0.08+AD52*0.05+AD53*0.1+AD54*0.15)-(AD183+AD184)-(AD185*1.2))</f>
        <v>9.58962790501716</v>
      </c>
      <c r="AE263" s="15">
        <f t="shared" ref="AE263:BE263" si="133">(AE168+(AE25+AE26+AE27)+(AE30*0.92)+(AE31*0.95)+(AE32*0.9)+(AE33*0.85)+AE180)/((AE50*0.05+AE51*0.08+AE52*0.05+AE53*0.1+AE54*0.15)-(AE183+AE184)-(AE185*1.2))</f>
        <v>9.58962790501716</v>
      </c>
      <c r="AF263" s="15">
        <f t="shared" si="133"/>
        <v>9.1939815682792716</v>
      </c>
      <c r="AG263" s="15">
        <f t="shared" si="133"/>
        <v>9.1939815682792716</v>
      </c>
      <c r="AH263" s="15">
        <f t="shared" si="133"/>
        <v>9.1939815682792716</v>
      </c>
      <c r="AI263" s="15">
        <f t="shared" si="133"/>
        <v>9.1939815682792716</v>
      </c>
      <c r="AJ263" s="15">
        <f t="shared" si="133"/>
        <v>9.1939815682792716</v>
      </c>
      <c r="AK263" s="15">
        <f t="shared" si="133"/>
        <v>9.1939815682792716</v>
      </c>
      <c r="AL263" s="15">
        <f t="shared" si="133"/>
        <v>9.1939815682792716</v>
      </c>
      <c r="AM263" s="15">
        <f t="shared" si="133"/>
        <v>9.1939815682792716</v>
      </c>
      <c r="AN263" s="15">
        <f t="shared" si="133"/>
        <v>9.1939815682792716</v>
      </c>
      <c r="AO263" s="15">
        <f t="shared" si="133"/>
        <v>9.1939815682792716</v>
      </c>
      <c r="AP263" s="15">
        <f t="shared" si="133"/>
        <v>9.1939815682792716</v>
      </c>
      <c r="AQ263" s="15">
        <f t="shared" si="133"/>
        <v>9.1939815682792716</v>
      </c>
      <c r="AR263" s="15">
        <f t="shared" si="133"/>
        <v>9.1939815682792716</v>
      </c>
      <c r="AS263" s="15">
        <f t="shared" si="133"/>
        <v>9.1939815682792716</v>
      </c>
      <c r="AT263" s="15">
        <f t="shared" si="133"/>
        <v>9.1939815682792716</v>
      </c>
      <c r="AU263" s="15">
        <f t="shared" si="133"/>
        <v>9.1939815682792716</v>
      </c>
      <c r="AV263" s="15">
        <f t="shared" si="133"/>
        <v>9.1939815682792716</v>
      </c>
      <c r="AW263" s="15">
        <f t="shared" si="133"/>
        <v>9.221987760396452</v>
      </c>
      <c r="AX263" s="15">
        <f t="shared" si="133"/>
        <v>9.1659753761620895</v>
      </c>
      <c r="AY263" s="15">
        <f t="shared" si="133"/>
        <v>9.1939815682792716</v>
      </c>
      <c r="AZ263" s="15">
        <f t="shared" si="133"/>
        <v>9.1939815682792716</v>
      </c>
      <c r="BA263" s="15">
        <f t="shared" si="133"/>
        <v>9.1939815682792716</v>
      </c>
      <c r="BB263" s="15">
        <f t="shared" si="133"/>
        <v>9.1939815682792716</v>
      </c>
      <c r="BC263" s="15">
        <f t="shared" si="133"/>
        <v>9.1939815682792716</v>
      </c>
      <c r="BD263" s="15">
        <f t="shared" si="133"/>
        <v>9.1939815682792716</v>
      </c>
      <c r="BE263" s="15">
        <f t="shared" si="133"/>
        <v>9.1939815682792716</v>
      </c>
      <c r="BF263" s="15">
        <f>(BF168+(BF25+BF26+BF27)+(BF30*0.75)+(BF31*0.95)+(BF32*0.9)+(BF33*0.85)+BF180)/((BF50*0.05+BF51*0.25+BF52*0.05+BF53*0.1+BF54*0.15)-(BF183+BF184)-(BF185*1.2))</f>
        <v>7.4482079666535155</v>
      </c>
      <c r="BG263" s="54">
        <v>7.45</v>
      </c>
    </row>
    <row r="264" spans="1:61" x14ac:dyDescent="0.25">
      <c r="A264" s="18" t="s">
        <v>6</v>
      </c>
      <c r="AC264" s="52">
        <v>4.32</v>
      </c>
      <c r="AD264" s="15">
        <f>(AD168+SUM(AD25:AD29)+(AD30*0.7)+(AD31*0.95)+(AD32*0.85)+(AD33*0.75)+AD181)/((AD50*0.1+AD51*0.3+AD52*0.05+AD53*0.15+AD54*0.25)-(AD183+AD184)-((AD185+AD186)*1.2))</f>
        <v>4.3216910767929662</v>
      </c>
      <c r="AE264" s="15">
        <f t="shared" ref="AE264:BE264" si="134">(AE168+SUM(AE25:AE29)+(AE30*0.7)+(AE31*0.95)+(AE32*0.85)+(AE33*0.75)+AE181)/((AE50*0.1+AE51*0.3+AE52*0.05+AE53*0.15+AE54*0.25)-(AE183+AE184)-((AE185+AE186)*1.2))</f>
        <v>4.3216910767929662</v>
      </c>
      <c r="AF264" s="15">
        <f t="shared" si="134"/>
        <v>4.3982984442245074</v>
      </c>
      <c r="AG264" s="15">
        <f t="shared" si="134"/>
        <v>4.3982984442245074</v>
      </c>
      <c r="AH264" s="15">
        <f t="shared" si="134"/>
        <v>4.3982984442245074</v>
      </c>
      <c r="AI264" s="15">
        <f t="shared" si="134"/>
        <v>4.3982984442245074</v>
      </c>
      <c r="AJ264" s="15">
        <f t="shared" si="134"/>
        <v>4.3982984442245074</v>
      </c>
      <c r="AK264" s="15">
        <f t="shared" si="134"/>
        <v>4.3982984442245074</v>
      </c>
      <c r="AL264" s="15">
        <f t="shared" si="134"/>
        <v>4.3982984442245074</v>
      </c>
      <c r="AM264" s="15">
        <f t="shared" si="134"/>
        <v>4.3982984442245074</v>
      </c>
      <c r="AN264" s="15">
        <f t="shared" si="134"/>
        <v>4.3982984442245074</v>
      </c>
      <c r="AO264" s="15">
        <f t="shared" si="134"/>
        <v>4.3982984442245074</v>
      </c>
      <c r="AP264" s="15">
        <f t="shared" si="134"/>
        <v>4.3982984442245074</v>
      </c>
      <c r="AQ264" s="15">
        <f t="shared" si="134"/>
        <v>4.3982984442245074</v>
      </c>
      <c r="AR264" s="15">
        <f t="shared" si="134"/>
        <v>4.3982984442245074</v>
      </c>
      <c r="AS264" s="15">
        <f t="shared" si="134"/>
        <v>4.3982984442245074</v>
      </c>
      <c r="AT264" s="15">
        <f t="shared" si="134"/>
        <v>4.3982984442245074</v>
      </c>
      <c r="AU264" s="15">
        <f t="shared" si="134"/>
        <v>4.3982984442245074</v>
      </c>
      <c r="AV264" s="15">
        <f t="shared" si="134"/>
        <v>4.3982984442245074</v>
      </c>
      <c r="AW264" s="15">
        <f t="shared" si="134"/>
        <v>4.3982984442245074</v>
      </c>
      <c r="AX264" s="15">
        <f t="shared" si="134"/>
        <v>4.3982984442245074</v>
      </c>
      <c r="AY264" s="15">
        <f t="shared" si="134"/>
        <v>4.3982984442245074</v>
      </c>
      <c r="AZ264" s="15">
        <f t="shared" si="134"/>
        <v>4.3982984442245074</v>
      </c>
      <c r="BA264" s="15">
        <f t="shared" si="134"/>
        <v>4.3982984442245074</v>
      </c>
      <c r="BB264" s="15">
        <f t="shared" si="134"/>
        <v>4.3982984442245074</v>
      </c>
      <c r="BC264" s="15">
        <f t="shared" si="134"/>
        <v>4.3982984442245074</v>
      </c>
      <c r="BD264" s="15">
        <f t="shared" si="134"/>
        <v>4.3982984442245074</v>
      </c>
      <c r="BE264" s="15">
        <f t="shared" si="134"/>
        <v>4.3982984442245074</v>
      </c>
      <c r="BF264" s="15">
        <f>(BF168+SUM(BF25:BF29)+(BF30*0.85)+(BF31*0.95)+(BF32*0.85)+(BF33*0.75)+BF181)/((BF50*0.1+BF51*0.15+BF52*0.05+BF53*0.15+BF54*0.25)-(BF183+BF184)-((BF185+BF186)*1.2))</f>
        <v>4.9126064582638787</v>
      </c>
      <c r="BG264" s="54">
        <v>4.91</v>
      </c>
    </row>
    <row r="265" spans="1:61" x14ac:dyDescent="0.25">
      <c r="A265" s="18" t="s">
        <v>7</v>
      </c>
      <c r="AC265" s="52">
        <v>3.17</v>
      </c>
      <c r="AD265" s="15">
        <f>(AD168+SUM(AD25:AD29)+(AD30*0.75)+(AD31*0.9)+(AD32*0.75)+(AD33*0.6)+(AD36*0.6*0.96)+(AD37*0.75*0.94)+(AD38*0.9*0.97)+(AD39*0.75*0.97)+(AD40*0.6*0.96)+AD182)/((AD50*0.2)+(AD51*0.25)+(AD52*0.1)+(AD53*0.25)+(AD54*0.4)-(AD183+AD184)-(AD185+AD186+AD187)*1.2)</f>
        <v>3.1679067471534679</v>
      </c>
      <c r="AE265" s="15">
        <f t="shared" ref="AE265:BE265" si="135">(AE168+SUM(AE25:AE29)+(AE30*0.75)+(AE31*0.9)+(AE32*0.75)+(AE33*0.6)+(AE36*0.6*0.96)+(AE37*0.75*0.94)+(AE38*0.9*0.97)+(AE39*0.75*0.97)+(AE40*0.6*0.96)+AE182)/((AE50*0.2)+(AE51*0.25)+(AE52*0.1)+(AE53*0.25)+(AE54*0.4)-(AE183+AE184)-(AE185+AE186+AE187)*1.2)</f>
        <v>3.1719741359520204</v>
      </c>
      <c r="AF265" s="15">
        <f t="shared" si="135"/>
        <v>2.9816768097943855</v>
      </c>
      <c r="AG265" s="15">
        <f t="shared" si="135"/>
        <v>2.9839904333405594</v>
      </c>
      <c r="AH265" s="15">
        <f t="shared" si="135"/>
        <v>2.9793631862482122</v>
      </c>
      <c r="AI265" s="15">
        <f t="shared" si="135"/>
        <v>2.9704592410856647</v>
      </c>
      <c r="AJ265" s="15">
        <f t="shared" si="135"/>
        <v>2.9732928456813572</v>
      </c>
      <c r="AK265" s="15">
        <f t="shared" si="135"/>
        <v>2.9676256364899722</v>
      </c>
      <c r="AL265" s="15">
        <f t="shared" si="135"/>
        <v>2.9816768097943855</v>
      </c>
      <c r="AM265" s="15">
        <f t="shared" si="135"/>
        <v>2.9841890777864428</v>
      </c>
      <c r="AN265" s="15">
        <f t="shared" si="135"/>
        <v>2.9791645418023283</v>
      </c>
      <c r="AO265" s="15">
        <f t="shared" si="135"/>
        <v>2.9816768097943855</v>
      </c>
      <c r="AP265" s="15">
        <f t="shared" si="135"/>
        <v>2.9849486006677628</v>
      </c>
      <c r="AQ265" s="15">
        <f t="shared" si="135"/>
        <v>2.9784050189210087</v>
      </c>
      <c r="AR265" s="15">
        <f t="shared" si="135"/>
        <v>2.9592416723769435</v>
      </c>
      <c r="AS265" s="15">
        <f t="shared" si="135"/>
        <v>2.958978760610333</v>
      </c>
      <c r="AT265" s="15">
        <f t="shared" si="135"/>
        <v>2.9595045841435543</v>
      </c>
      <c r="AU265" s="15">
        <f t="shared" si="135"/>
        <v>2.945073649398481</v>
      </c>
      <c r="AV265" s="15">
        <f t="shared" si="135"/>
        <v>2.945073649398481</v>
      </c>
      <c r="AW265" s="15">
        <f t="shared" si="135"/>
        <v>2.945073649398481</v>
      </c>
      <c r="AX265" s="15">
        <f t="shared" si="135"/>
        <v>2.945073649398481</v>
      </c>
      <c r="AY265" s="15">
        <f t="shared" si="135"/>
        <v>2.9588034860992591</v>
      </c>
      <c r="AZ265" s="15">
        <f t="shared" si="135"/>
        <v>2.9313438126977025</v>
      </c>
      <c r="BA265" s="15">
        <f t="shared" si="135"/>
        <v>2.9495606768819691</v>
      </c>
      <c r="BB265" s="15">
        <f t="shared" si="135"/>
        <v>2.9518041906237134</v>
      </c>
      <c r="BC265" s="15">
        <f t="shared" si="135"/>
        <v>2.9473171631402248</v>
      </c>
      <c r="BD265" s="15">
        <f t="shared" si="135"/>
        <v>2.9482952829853901</v>
      </c>
      <c r="BE265" s="15">
        <f t="shared" si="135"/>
        <v>2.9822985381337008</v>
      </c>
      <c r="BF265" s="15">
        <f>(BF168+SUM(BF25:BF29)+(BF30*0.3)+(BF31*0.9)+(BF32*0.75)+(BF33*0.6)+(BF36*0.6*0.96)+(BF37*0.3*0.99)+(BF38*0.9*0.97)+(BF39*0.75*0.97)+(BF40*0.6*0.96)+BF182)/((BF50*0.2)+(BF51*0.7)+(BF52*0.1)+(BF53*0.25)+(BF54*0.4)-(BF183+BF184)-(BF185+BF186+BF187)*1.2)</f>
        <v>2.1866178011150277</v>
      </c>
      <c r="BG265" s="54">
        <v>2.19</v>
      </c>
    </row>
    <row r="266" spans="1:61" x14ac:dyDescent="0.25">
      <c r="A266" s="17" t="s">
        <v>218</v>
      </c>
      <c r="AC266" s="52" t="s">
        <v>231</v>
      </c>
      <c r="AD266" s="53" t="s">
        <v>226</v>
      </c>
      <c r="AE266" t="s">
        <v>231</v>
      </c>
      <c r="BF266" s="53" t="s">
        <v>233</v>
      </c>
      <c r="BG266" s="54" t="s">
        <v>231</v>
      </c>
    </row>
    <row r="267" spans="1:61" x14ac:dyDescent="0.25">
      <c r="A267" s="18" t="s">
        <v>3</v>
      </c>
      <c r="AC267" s="52">
        <v>3.19</v>
      </c>
      <c r="AD267" s="15">
        <f>(AD168+AD178)/((AD51*0.15+AD50*0.05+AD52*0.02+AD53*0.1+AD54*0.15)-AD183)</f>
        <v>3.1915150835550237</v>
      </c>
      <c r="AE267" s="15">
        <f t="shared" ref="AE267:BE267" si="136">(AE168+AE178)/((AE51*0.15+AE50*0.05+AE52*0.02+AE53*0.1+AE54*0.15)-AE183)</f>
        <v>3.1915150835550237</v>
      </c>
      <c r="AF267" s="15">
        <f t="shared" si="136"/>
        <v>2.9460261185327363</v>
      </c>
      <c r="AG267" s="15">
        <f t="shared" si="136"/>
        <v>2.9460261185327363</v>
      </c>
      <c r="AH267" s="15">
        <f t="shared" si="136"/>
        <v>2.9460261185327363</v>
      </c>
      <c r="AI267" s="15">
        <f t="shared" si="136"/>
        <v>2.9460261185327363</v>
      </c>
      <c r="AJ267" s="15">
        <f t="shared" si="136"/>
        <v>2.9460261185327363</v>
      </c>
      <c r="AK267" s="15">
        <f t="shared" si="136"/>
        <v>2.9460261185327363</v>
      </c>
      <c r="AL267" s="15">
        <f t="shared" si="136"/>
        <v>2.9460261185327363</v>
      </c>
      <c r="AM267" s="15">
        <f t="shared" si="136"/>
        <v>2.9460261185327363</v>
      </c>
      <c r="AN267" s="15">
        <f t="shared" si="136"/>
        <v>2.9460261185327363</v>
      </c>
      <c r="AO267" s="15">
        <f t="shared" si="136"/>
        <v>2.9460261185327363</v>
      </c>
      <c r="AP267" s="15">
        <f t="shared" si="136"/>
        <v>2.9460261185327363</v>
      </c>
      <c r="AQ267" s="15">
        <f t="shared" si="136"/>
        <v>2.9460261185327363</v>
      </c>
      <c r="AR267" s="15">
        <f t="shared" si="136"/>
        <v>2.9460261185327363</v>
      </c>
      <c r="AS267" s="15">
        <f t="shared" si="136"/>
        <v>2.9460261185327363</v>
      </c>
      <c r="AT267" s="15">
        <f t="shared" si="136"/>
        <v>2.9460261185327363</v>
      </c>
      <c r="AU267" s="15">
        <f t="shared" si="136"/>
        <v>2.9932087966534433</v>
      </c>
      <c r="AV267" s="15">
        <f t="shared" si="136"/>
        <v>2.8988434404120293</v>
      </c>
      <c r="AW267" s="15">
        <f t="shared" si="136"/>
        <v>2.9814131271232664</v>
      </c>
      <c r="AX267" s="15">
        <f t="shared" si="136"/>
        <v>2.9106391099422062</v>
      </c>
      <c r="AY267" s="15">
        <f t="shared" si="136"/>
        <v>2.9460261185327363</v>
      </c>
      <c r="AZ267" s="15">
        <f t="shared" si="136"/>
        <v>2.9460261185327363</v>
      </c>
      <c r="BA267" s="15">
        <f t="shared" si="136"/>
        <v>2.9460261185327363</v>
      </c>
      <c r="BB267" s="15">
        <f t="shared" si="136"/>
        <v>2.9460261185327363</v>
      </c>
      <c r="BC267" s="15">
        <f t="shared" si="136"/>
        <v>2.9460261185327363</v>
      </c>
      <c r="BD267" s="15">
        <f t="shared" si="136"/>
        <v>2.9460261185327363</v>
      </c>
      <c r="BE267" s="15">
        <f t="shared" si="136"/>
        <v>2.9460261185327363</v>
      </c>
      <c r="BF267" s="15">
        <f>(BF168+BF178)/((BF51*0.15+BF50*0.05+BF52*0.01+BF53*0.1+BF54*0.15)-BF183)</f>
        <v>2.9699743546755752</v>
      </c>
      <c r="BG267" s="54">
        <v>2.97</v>
      </c>
    </row>
    <row r="268" spans="1:61" x14ac:dyDescent="0.25">
      <c r="A268" s="18" t="s">
        <v>4</v>
      </c>
      <c r="AC268" s="52">
        <v>2.59</v>
      </c>
      <c r="AD268" s="15">
        <f>(AD168+AD179)/((AD50*0.05+AD51*0.15+AD52*0.07+AD53*0.1+AD54*0.15)-(AD184+AD183))</f>
        <v>2.5922022357793026</v>
      </c>
      <c r="AE268" s="15">
        <f t="shared" ref="AE268:BE268" si="137">(AE168+AE179)/((AE50*0.05+AE51*0.15+AE52*0.07+AE53*0.1+AE54*0.15)-(AE184+AE183))</f>
        <v>2.5922022357793026</v>
      </c>
      <c r="AF268" s="15">
        <f t="shared" si="137"/>
        <v>2.7434702346770226</v>
      </c>
      <c r="AG268" s="15">
        <f t="shared" si="137"/>
        <v>2.7434702346770226</v>
      </c>
      <c r="AH268" s="15">
        <f t="shared" si="137"/>
        <v>2.7434702346770226</v>
      </c>
      <c r="AI268" s="15">
        <f t="shared" si="137"/>
        <v>2.7434702346770226</v>
      </c>
      <c r="AJ268" s="15">
        <f t="shared" si="137"/>
        <v>2.7434702346770226</v>
      </c>
      <c r="AK268" s="15">
        <f t="shared" si="137"/>
        <v>2.7434702346770226</v>
      </c>
      <c r="AL268" s="15">
        <f t="shared" si="137"/>
        <v>2.7434702346770226</v>
      </c>
      <c r="AM268" s="15">
        <f t="shared" si="137"/>
        <v>2.7434702346770226</v>
      </c>
      <c r="AN268" s="15">
        <f t="shared" si="137"/>
        <v>2.7434702346770226</v>
      </c>
      <c r="AO268" s="15">
        <f t="shared" si="137"/>
        <v>2.7434702346770226</v>
      </c>
      <c r="AP268" s="15">
        <f t="shared" si="137"/>
        <v>2.7434702346770226</v>
      </c>
      <c r="AQ268" s="15">
        <f t="shared" si="137"/>
        <v>2.7434702346770226</v>
      </c>
      <c r="AR268" s="15">
        <f t="shared" si="137"/>
        <v>2.7434702346770226</v>
      </c>
      <c r="AS268" s="15">
        <f t="shared" si="137"/>
        <v>2.7434702346770226</v>
      </c>
      <c r="AT268" s="15">
        <f t="shared" si="137"/>
        <v>2.7434702346770226</v>
      </c>
      <c r="AU268" s="15">
        <f t="shared" si="137"/>
        <v>2.7859976690824753</v>
      </c>
      <c r="AV268" s="15">
        <f t="shared" si="137"/>
        <v>2.7009428002715703</v>
      </c>
      <c r="AW268" s="15">
        <f t="shared" si="137"/>
        <v>2.7753658104811123</v>
      </c>
      <c r="AX268" s="15">
        <f t="shared" si="137"/>
        <v>2.7115746588729333</v>
      </c>
      <c r="AY268" s="15">
        <f t="shared" si="137"/>
        <v>2.7434702346770226</v>
      </c>
      <c r="AZ268" s="15">
        <f t="shared" si="137"/>
        <v>2.7434702346770226</v>
      </c>
      <c r="BA268" s="15">
        <f t="shared" si="137"/>
        <v>2.7434702346770226</v>
      </c>
      <c r="BB268" s="15">
        <f t="shared" si="137"/>
        <v>2.7434702346770226</v>
      </c>
      <c r="BC268" s="15">
        <f t="shared" si="137"/>
        <v>2.7434702346770226</v>
      </c>
      <c r="BD268" s="15">
        <f t="shared" si="137"/>
        <v>2.7434702346770226</v>
      </c>
      <c r="BE268" s="15">
        <f t="shared" si="137"/>
        <v>2.7434702346770226</v>
      </c>
      <c r="BF268" s="15">
        <f>(BF168+BF179)/((BF50*0.05+BF51*0.15+BF52*0.09+BF53*0.1+BF54*0.15)-(BF184+BF183))</f>
        <v>2.7041631964284383</v>
      </c>
      <c r="BG268" s="54">
        <v>2.7</v>
      </c>
    </row>
    <row r="269" spans="1:61" x14ac:dyDescent="0.25">
      <c r="A269" s="18" t="s">
        <v>5</v>
      </c>
      <c r="AC269" s="52">
        <v>8.89</v>
      </c>
      <c r="AD269" s="15">
        <f>(AD168+(AD25+AD26+AD27)+(AD30*0.85)+(AD31*0.99)+(AD32*0.9)+(AD33*0.85)+AD180)/((AD50*0.05+AD51*0.15+AD52*0.01+AD53*0.1+AD54*0.15)-(AD183+AD184)-(AD185*1.2))</f>
        <v>8.8860928997834314</v>
      </c>
      <c r="AE269" s="15">
        <f t="shared" ref="AE269:BE269" si="138">(AE168+(AE25+AE26+AE27)+(AE30*0.85)+(AE31*0.99)+(AE32*0.9)+(AE33*0.85)+AE180)/((AE50*0.05+AE51*0.15+AE52*0.01+AE53*0.1+AE54*0.15)-(AE183+AE184)-(AE185*1.2))</f>
        <v>8.8860928997834314</v>
      </c>
      <c r="AF269" s="15">
        <f t="shared" si="138"/>
        <v>8.6007707047652726</v>
      </c>
      <c r="AG269" s="15">
        <f t="shared" si="138"/>
        <v>8.6007707047652726</v>
      </c>
      <c r="AH269" s="15">
        <f t="shared" si="138"/>
        <v>8.6007707047652726</v>
      </c>
      <c r="AI269" s="15">
        <f t="shared" si="138"/>
        <v>8.6007707047652726</v>
      </c>
      <c r="AJ269" s="15">
        <f t="shared" si="138"/>
        <v>8.6007707047652726</v>
      </c>
      <c r="AK269" s="15">
        <f t="shared" si="138"/>
        <v>8.6007707047652726</v>
      </c>
      <c r="AL269" s="15">
        <f t="shared" si="138"/>
        <v>8.6007707047652726</v>
      </c>
      <c r="AM269" s="15">
        <f t="shared" si="138"/>
        <v>8.6007707047652726</v>
      </c>
      <c r="AN269" s="15">
        <f t="shared" si="138"/>
        <v>8.6007707047652726</v>
      </c>
      <c r="AO269" s="15">
        <f t="shared" si="138"/>
        <v>8.6007707047652726</v>
      </c>
      <c r="AP269" s="15">
        <f t="shared" si="138"/>
        <v>8.6007707047652726</v>
      </c>
      <c r="AQ269" s="15">
        <f t="shared" si="138"/>
        <v>8.6007707047652726</v>
      </c>
      <c r="AR269" s="15">
        <f t="shared" si="138"/>
        <v>8.6007707047652726</v>
      </c>
      <c r="AS269" s="15">
        <f t="shared" si="138"/>
        <v>8.6007707047652726</v>
      </c>
      <c r="AT269" s="15">
        <f t="shared" si="138"/>
        <v>8.6007707047652726</v>
      </c>
      <c r="AU269" s="15">
        <f t="shared" si="138"/>
        <v>8.6007707047652726</v>
      </c>
      <c r="AV269" s="15">
        <f t="shared" si="138"/>
        <v>8.6007707047652726</v>
      </c>
      <c r="AW269" s="15">
        <f t="shared" si="138"/>
        <v>8.6272647446478672</v>
      </c>
      <c r="AX269" s="15">
        <f t="shared" si="138"/>
        <v>8.574276664882678</v>
      </c>
      <c r="AY269" s="15">
        <f t="shared" si="138"/>
        <v>8.6007707047652726</v>
      </c>
      <c r="AZ269" s="15">
        <f t="shared" si="138"/>
        <v>8.6007707047652726</v>
      </c>
      <c r="BA269" s="15">
        <f t="shared" si="138"/>
        <v>8.6007707047652726</v>
      </c>
      <c r="BB269" s="15">
        <f t="shared" si="138"/>
        <v>8.6007707047652726</v>
      </c>
      <c r="BC269" s="15">
        <f t="shared" si="138"/>
        <v>8.6007707047652726</v>
      </c>
      <c r="BD269" s="15">
        <f t="shared" si="138"/>
        <v>8.6007707047652726</v>
      </c>
      <c r="BE269" s="15">
        <f t="shared" si="138"/>
        <v>8.6007707047652726</v>
      </c>
      <c r="BF269" s="15">
        <f>(BF168+(BF25+BF26+BF27)+(BF30*0.85)+(BF31*0.98)+(BF32*0.9)+(BF33*0.85)+BF180)/((BF50*0.05+BF51*0.15+BF52*0.02+BF53*0.1+BF54*0.15)-(BF183+BF184)-(BF185*1.2))</f>
        <v>8.5488549388262349</v>
      </c>
      <c r="BG269" s="54">
        <v>8.5500000000000007</v>
      </c>
    </row>
    <row r="270" spans="1:61" x14ac:dyDescent="0.25">
      <c r="A270" s="18" t="s">
        <v>6</v>
      </c>
      <c r="AC270" s="52">
        <v>4.42</v>
      </c>
      <c r="AD270" s="15">
        <f>(AD168+SUM(AD25:AD29)+(AD30*0.75)+(AD31*0.91)+(AD32*0.85)+(AD33*0.75)+AD181)/((AD50*0.1+AD51*0.25+AD52*0.09+AD53*0.15+AD54*0.25)-(AD183+AD184)-((AD185+AD186)*1.2))</f>
        <v>4.4238744600619713</v>
      </c>
      <c r="AE270" s="15">
        <f t="shared" ref="AE270:BE270" si="139">(AE168+SUM(AE25:AE29)+(AE30*0.75)+(AE31*0.91)+(AE32*0.85)+(AE33*0.75)+AE181)/((AE50*0.1+AE51*0.25+AE52*0.09+AE53*0.15+AE54*0.25)-(AE183+AE184)-((AE185+AE186)*1.2))</f>
        <v>4.4238744600619713</v>
      </c>
      <c r="AF270" s="15">
        <f t="shared" si="139"/>
        <v>4.5035899087606213</v>
      </c>
      <c r="AG270" s="15">
        <f t="shared" si="139"/>
        <v>4.5035899087606213</v>
      </c>
      <c r="AH270" s="15">
        <f t="shared" si="139"/>
        <v>4.5035899087606213</v>
      </c>
      <c r="AI270" s="15">
        <f t="shared" si="139"/>
        <v>4.5035899087606213</v>
      </c>
      <c r="AJ270" s="15">
        <f t="shared" si="139"/>
        <v>4.5035899087606213</v>
      </c>
      <c r="AK270" s="15">
        <f t="shared" si="139"/>
        <v>4.5035899087606213</v>
      </c>
      <c r="AL270" s="15">
        <f t="shared" si="139"/>
        <v>4.5035899087606213</v>
      </c>
      <c r="AM270" s="15">
        <f t="shared" si="139"/>
        <v>4.5035899087606213</v>
      </c>
      <c r="AN270" s="15">
        <f t="shared" si="139"/>
        <v>4.5035899087606213</v>
      </c>
      <c r="AO270" s="15">
        <f t="shared" si="139"/>
        <v>4.5035899087606213</v>
      </c>
      <c r="AP270" s="15">
        <f t="shared" si="139"/>
        <v>4.5035899087606213</v>
      </c>
      <c r="AQ270" s="15">
        <f t="shared" si="139"/>
        <v>4.5035899087606213</v>
      </c>
      <c r="AR270" s="15">
        <f t="shared" si="139"/>
        <v>4.5035899087606213</v>
      </c>
      <c r="AS270" s="15">
        <f t="shared" si="139"/>
        <v>4.5035899087606213</v>
      </c>
      <c r="AT270" s="15">
        <f t="shared" si="139"/>
        <v>4.5035899087606213</v>
      </c>
      <c r="AU270" s="15">
        <f t="shared" si="139"/>
        <v>4.5035899087606213</v>
      </c>
      <c r="AV270" s="15">
        <f t="shared" si="139"/>
        <v>4.5035899087606213</v>
      </c>
      <c r="AW270" s="15">
        <f t="shared" si="139"/>
        <v>4.5035899087606213</v>
      </c>
      <c r="AX270" s="15">
        <f t="shared" si="139"/>
        <v>4.5035899087606213</v>
      </c>
      <c r="AY270" s="15">
        <f t="shared" si="139"/>
        <v>4.5035899087606213</v>
      </c>
      <c r="AZ270" s="15">
        <f t="shared" si="139"/>
        <v>4.5035899087606213</v>
      </c>
      <c r="BA270" s="15">
        <f t="shared" si="139"/>
        <v>4.5035899087606213</v>
      </c>
      <c r="BB270" s="15">
        <f t="shared" si="139"/>
        <v>4.5035899087606213</v>
      </c>
      <c r="BC270" s="15">
        <f t="shared" si="139"/>
        <v>4.5035899087606213</v>
      </c>
      <c r="BD270" s="15">
        <f t="shared" si="139"/>
        <v>4.5035899087606213</v>
      </c>
      <c r="BE270" s="15">
        <f t="shared" si="139"/>
        <v>4.5035899087606213</v>
      </c>
      <c r="BF270" s="15">
        <f>(BF168+SUM(BF25:BF29)+(BF30*0.75)+(BF31*0.85)+(BF32*0.85)+(BF33*0.75)+BF181)/((BF50*0.1+BF51*0.25+BF52*0.15+BF53*0.15+BF54*0.25)-(BF183+BF184)-((BF185+BF186)*1.2))</f>
        <v>4.421614455266103</v>
      </c>
      <c r="BG270" s="54">
        <v>4.42</v>
      </c>
    </row>
    <row r="271" spans="1:61" x14ac:dyDescent="0.25">
      <c r="A271" s="18" t="s">
        <v>7</v>
      </c>
      <c r="AC271" s="52">
        <v>2.88</v>
      </c>
      <c r="AD271" s="15">
        <f>(AD168+SUM(AD25:AD29)+(AD30*0.6)+(AD31*0.92)+(AD32*0.75)+(AD33*0.6)+(AD36*0.6*0.96)+(AD37*0.6*0.96)+(AD38*0.92*0.95)+(AD39*0.75*0.97)+(AD40*0.6*0.96)+AD182)/((AD50*0.2)+(AD51*0.4)+(AD52*0.08)+(AD53*0.25)+(AD54*0.4)-(AD183+AD184)-(AD185+AD186+AD187)*1.2)</f>
        <v>2.8763134612057328</v>
      </c>
      <c r="AE271" s="15">
        <f t="shared" ref="AE271:BE271" si="140">(AE168+SUM(AE25:AE29)+(AE30*0.6)+(AE31*0.92)+(AE32*0.75)+(AE33*0.6)+(AE36*0.6*0.96)+(AE37*0.6*0.96)+(AE38*0.92*0.95)+(AE39*0.75*0.97)+(AE40*0.6*0.96)+AE182)/((AE50*0.2)+(AE51*0.4)+(AE52*0.08)+(AE53*0.25)+(AE54*0.4)-(AE183+AE184)-(AE185+AE186+AE187)*1.2)</f>
        <v>2.8802265235424516</v>
      </c>
      <c r="AF271" s="15">
        <f t="shared" si="140"/>
        <v>2.7323682197361663</v>
      </c>
      <c r="AG271" s="15">
        <f t="shared" si="140"/>
        <v>2.7346127299795615</v>
      </c>
      <c r="AH271" s="15">
        <f t="shared" si="140"/>
        <v>2.7301237094927711</v>
      </c>
      <c r="AI271" s="15">
        <f t="shared" si="140"/>
        <v>2.7215222641976125</v>
      </c>
      <c r="AJ271" s="15">
        <f t="shared" si="140"/>
        <v>2.7242808275420534</v>
      </c>
      <c r="AK271" s="15">
        <f t="shared" si="140"/>
        <v>2.7187637008531711</v>
      </c>
      <c r="AL271" s="15">
        <f t="shared" si="140"/>
        <v>2.7323682197361663</v>
      </c>
      <c r="AM271" s="15">
        <f t="shared" si="140"/>
        <v>2.7323682197361663</v>
      </c>
      <c r="AN271" s="15">
        <f t="shared" si="140"/>
        <v>2.7323682197361663</v>
      </c>
      <c r="AO271" s="15">
        <f t="shared" si="140"/>
        <v>2.7323682197361663</v>
      </c>
      <c r="AP271" s="15">
        <f t="shared" si="140"/>
        <v>2.7379794953446543</v>
      </c>
      <c r="AQ271" s="15">
        <f t="shared" si="140"/>
        <v>2.7267569441276782</v>
      </c>
      <c r="AR271" s="15">
        <f t="shared" si="140"/>
        <v>2.7106763086590582</v>
      </c>
      <c r="AS271" s="15">
        <f t="shared" si="140"/>
        <v>2.7089646813006301</v>
      </c>
      <c r="AT271" s="15">
        <f t="shared" si="140"/>
        <v>2.7123879360174863</v>
      </c>
      <c r="AU271" s="15">
        <f t="shared" si="140"/>
        <v>2.6969776408564572</v>
      </c>
      <c r="AV271" s="15">
        <f t="shared" si="140"/>
        <v>2.6969776408564572</v>
      </c>
      <c r="AW271" s="15">
        <f t="shared" si="140"/>
        <v>2.6969776408564572</v>
      </c>
      <c r="AX271" s="15">
        <f t="shared" si="140"/>
        <v>2.6969776408564572</v>
      </c>
      <c r="AY271" s="15">
        <f t="shared" si="140"/>
        <v>2.7078235963950115</v>
      </c>
      <c r="AZ271" s="15">
        <f t="shared" si="140"/>
        <v>2.6861316853179034</v>
      </c>
      <c r="BA271" s="15">
        <f t="shared" si="140"/>
        <v>2.7013160230718789</v>
      </c>
      <c r="BB271" s="15">
        <f t="shared" si="140"/>
        <v>2.7034852141795898</v>
      </c>
      <c r="BC271" s="15">
        <f t="shared" si="140"/>
        <v>2.699146831964168</v>
      </c>
      <c r="BD271" s="15">
        <f t="shared" si="140"/>
        <v>2.7000911474088154</v>
      </c>
      <c r="BE271" s="15">
        <f t="shared" si="140"/>
        <v>2.7330056097028996</v>
      </c>
      <c r="BF271" s="15">
        <f>(BF168+SUM(BF25:BF29)+(BF30*0.6)+(BF31*0.5)+(BF32*0.75)+(BF33*0.6)+(BF36*0.6*0.96)+(BF37*0.6*0.96)+(BF38*0.5*0.98)+(BF39*0.75*0.97)+(BF40*0.6*0.96)+BF182)/((BF50*0.2)+(BF51*0.4)+(BF52*0.5)+(BF53*0.25)+(BF54*0.4)-(BF183+BF184)-(BF185+BF186+BF187)*1.2)</f>
        <v>2.5255503193242119</v>
      </c>
      <c r="BG271" s="54">
        <v>2.5299999999999998</v>
      </c>
    </row>
    <row r="272" spans="1:61" x14ac:dyDescent="0.25">
      <c r="A272" s="17" t="s">
        <v>219</v>
      </c>
      <c r="AC272" s="52" t="s">
        <v>231</v>
      </c>
      <c r="AD272" s="53" t="s">
        <v>227</v>
      </c>
      <c r="AE272" t="s">
        <v>231</v>
      </c>
      <c r="BF272" s="53" t="s">
        <v>234</v>
      </c>
      <c r="BG272" s="54" t="s">
        <v>231</v>
      </c>
    </row>
    <row r="273" spans="1:59" x14ac:dyDescent="0.25">
      <c r="A273" s="18" t="s">
        <v>3</v>
      </c>
      <c r="AC273" s="52">
        <v>2.94</v>
      </c>
      <c r="AD273" s="15">
        <f>(AD168+AD178)/((AD51*0.15+AD50*0.05+AD52*0.05+AD53*0.12+AD54*0.15)-AD183)</f>
        <v>2.9367392790203981</v>
      </c>
      <c r="AE273" s="15">
        <f t="shared" ref="AE273:BE273" si="141">(AE168+AE178)/((AE51*0.15+AE50*0.05+AE52*0.12+AE53*0.1+AE54*0.15)-AE183)</f>
        <v>2.9226117783988514</v>
      </c>
      <c r="AF273" s="15">
        <f t="shared" si="141"/>
        <v>2.7262003492192384</v>
      </c>
      <c r="AG273" s="15">
        <f t="shared" si="141"/>
        <v>2.7262003492192384</v>
      </c>
      <c r="AH273" s="15">
        <f t="shared" si="141"/>
        <v>2.7262003492192384</v>
      </c>
      <c r="AI273" s="15">
        <f t="shared" si="141"/>
        <v>2.7262003492192384</v>
      </c>
      <c r="AJ273" s="15">
        <f t="shared" si="141"/>
        <v>2.7262003492192384</v>
      </c>
      <c r="AK273" s="15">
        <f t="shared" si="141"/>
        <v>2.7262003492192384</v>
      </c>
      <c r="AL273" s="15">
        <f t="shared" si="141"/>
        <v>2.7262003492192384</v>
      </c>
      <c r="AM273" s="15">
        <f t="shared" si="141"/>
        <v>2.7262003492192384</v>
      </c>
      <c r="AN273" s="15">
        <f t="shared" si="141"/>
        <v>2.7262003492192384</v>
      </c>
      <c r="AO273" s="15">
        <f t="shared" si="141"/>
        <v>2.7262003492192384</v>
      </c>
      <c r="AP273" s="15">
        <f t="shared" si="141"/>
        <v>2.7262003492192384</v>
      </c>
      <c r="AQ273" s="15">
        <f t="shared" si="141"/>
        <v>2.7262003492192384</v>
      </c>
      <c r="AR273" s="15">
        <f t="shared" si="141"/>
        <v>2.7262003492192384</v>
      </c>
      <c r="AS273" s="15">
        <f t="shared" si="141"/>
        <v>2.7262003492192384</v>
      </c>
      <c r="AT273" s="15">
        <f t="shared" si="141"/>
        <v>2.7262003492192384</v>
      </c>
      <c r="AU273" s="15">
        <f t="shared" si="141"/>
        <v>2.7698623631982024</v>
      </c>
      <c r="AV273" s="15">
        <f t="shared" si="141"/>
        <v>2.6825383352402739</v>
      </c>
      <c r="AW273" s="15">
        <f t="shared" si="141"/>
        <v>2.7589468597034617</v>
      </c>
      <c r="AX273" s="15">
        <f t="shared" si="141"/>
        <v>2.6934538387350151</v>
      </c>
      <c r="AY273" s="15">
        <f t="shared" si="141"/>
        <v>2.7262003492192384</v>
      </c>
      <c r="AZ273" s="15">
        <f t="shared" si="141"/>
        <v>2.7262003492192384</v>
      </c>
      <c r="BA273" s="15">
        <f t="shared" si="141"/>
        <v>2.7262003492192384</v>
      </c>
      <c r="BB273" s="15">
        <f t="shared" si="141"/>
        <v>2.7262003492192384</v>
      </c>
      <c r="BC273" s="15">
        <f t="shared" si="141"/>
        <v>2.7262003492192384</v>
      </c>
      <c r="BD273" s="15">
        <f t="shared" si="141"/>
        <v>2.7262003492192384</v>
      </c>
      <c r="BE273" s="15">
        <f t="shared" si="141"/>
        <v>2.7262003492192384</v>
      </c>
      <c r="BF273" s="15">
        <f>(BF168+BF178)/((BF51*0.15+BF50*0.05+BF52*0.05+BF53*0.01+BF54*0.15)-BF183)</f>
        <v>4.0958095658719733</v>
      </c>
      <c r="BG273" s="54">
        <v>4.0999999999999996</v>
      </c>
    </row>
    <row r="274" spans="1:59" x14ac:dyDescent="0.25">
      <c r="A274" s="18" t="s">
        <v>4</v>
      </c>
      <c r="AC274" s="52">
        <v>2.84</v>
      </c>
      <c r="AD274" s="15">
        <f>(AD168+AD179)/((AD50*0.05+AD51*0.15+AD52*0.05+AD53*0.07+AD54*0.15)-(AD184+AD183))</f>
        <v>2.8384395724768763</v>
      </c>
      <c r="AE274" s="15">
        <f t="shared" ref="AE274:BE274" si="142">(AE168+AE179)/((AE50*0.05+AE51*0.15+AE52*0.05+AE53*0.07+AE54*0.15)-(AE184+AE183))</f>
        <v>2.8384395724768763</v>
      </c>
      <c r="AF274" s="15">
        <f t="shared" si="142"/>
        <v>3.0692570981425038</v>
      </c>
      <c r="AG274" s="15">
        <f t="shared" si="142"/>
        <v>3.0692570981425038</v>
      </c>
      <c r="AH274" s="15">
        <f t="shared" si="142"/>
        <v>3.0692570981425038</v>
      </c>
      <c r="AI274" s="15">
        <f t="shared" si="142"/>
        <v>3.0692570981425038</v>
      </c>
      <c r="AJ274" s="15">
        <f t="shared" si="142"/>
        <v>3.0692570981425038</v>
      </c>
      <c r="AK274" s="15">
        <f t="shared" si="142"/>
        <v>3.0692570981425038</v>
      </c>
      <c r="AL274" s="15">
        <f t="shared" si="142"/>
        <v>3.0692570981425038</v>
      </c>
      <c r="AM274" s="15">
        <f t="shared" si="142"/>
        <v>3.0692570981425038</v>
      </c>
      <c r="AN274" s="15">
        <f t="shared" si="142"/>
        <v>3.0692570981425038</v>
      </c>
      <c r="AO274" s="15">
        <f t="shared" si="142"/>
        <v>3.0692570981425038</v>
      </c>
      <c r="AP274" s="15">
        <f t="shared" si="142"/>
        <v>3.0692570981425038</v>
      </c>
      <c r="AQ274" s="15">
        <f t="shared" si="142"/>
        <v>3.0692570981425038</v>
      </c>
      <c r="AR274" s="15">
        <f t="shared" si="142"/>
        <v>3.0692570981425038</v>
      </c>
      <c r="AS274" s="15">
        <f t="shared" si="142"/>
        <v>3.0692570981425038</v>
      </c>
      <c r="AT274" s="15">
        <f t="shared" si="142"/>
        <v>3.0692570981425038</v>
      </c>
      <c r="AU274" s="15">
        <f t="shared" si="142"/>
        <v>3.1168346618663145</v>
      </c>
      <c r="AV274" s="15">
        <f t="shared" si="142"/>
        <v>3.0216795344186926</v>
      </c>
      <c r="AW274" s="15">
        <f t="shared" si="142"/>
        <v>3.1049402709353622</v>
      </c>
      <c r="AX274" s="15">
        <f t="shared" si="142"/>
        <v>3.0335739253496454</v>
      </c>
      <c r="AY274" s="15">
        <f t="shared" si="142"/>
        <v>3.0692570981425038</v>
      </c>
      <c r="AZ274" s="15">
        <f t="shared" si="142"/>
        <v>3.0692570981425038</v>
      </c>
      <c r="BA274" s="15">
        <f t="shared" si="142"/>
        <v>3.0692570981425038</v>
      </c>
      <c r="BB274" s="15">
        <f t="shared" si="142"/>
        <v>3.0692570981425038</v>
      </c>
      <c r="BC274" s="15">
        <f t="shared" si="142"/>
        <v>3.0692570981425038</v>
      </c>
      <c r="BD274" s="15">
        <f t="shared" si="142"/>
        <v>3.0692570981425038</v>
      </c>
      <c r="BE274" s="15">
        <f t="shared" si="142"/>
        <v>3.0692570981425038</v>
      </c>
      <c r="BF274" s="15">
        <f>(BF168+BF179)/((BF50*0.05+BF51*0.15+BF52*0.05+BF53*0.2+BF54*0.15)-(BF184+BF183))</f>
        <v>2.1253552213384039</v>
      </c>
      <c r="BG274" s="54">
        <v>2.13</v>
      </c>
    </row>
    <row r="275" spans="1:59" x14ac:dyDescent="0.25">
      <c r="A275" s="18" t="s">
        <v>5</v>
      </c>
      <c r="AC275" s="52">
        <v>7.61</v>
      </c>
      <c r="AD275" s="15">
        <f>(AD168+(AD25+AD26+AD27)+(AD30*0.85)+(AD31*0.95)+(AD32*0.85)+(AD33*0.85)+AD180)/((AD50*0.05+AD51*0.15+AD52*0.05+AD53*0.15+AD54*0.15)-(AD183+AD184)-(AD185*1.2))</f>
        <v>7.6052252769080155</v>
      </c>
      <c r="AE275" s="15">
        <f t="shared" ref="AE275:BE275" si="143">(AE168+(AE25+AE26+AE27)+(AE30*0.85)+(AE31*0.95)+(AE32*0.85)+(AE33*0.85)+AE180)/((AE50*0.05+AE51*0.15+AE52*0.05+AE53*0.15+AE54*0.15)-(AE183+AE184)-(AE185*1.2))</f>
        <v>7.6052252769080155</v>
      </c>
      <c r="AF275" s="15">
        <f t="shared" si="143"/>
        <v>7.2433830345338359</v>
      </c>
      <c r="AG275" s="15">
        <f t="shared" si="143"/>
        <v>7.2433830345338359</v>
      </c>
      <c r="AH275" s="15">
        <f t="shared" si="143"/>
        <v>7.2433830345338359</v>
      </c>
      <c r="AI275" s="15">
        <f t="shared" si="143"/>
        <v>7.2433830345338359</v>
      </c>
      <c r="AJ275" s="15">
        <f t="shared" si="143"/>
        <v>7.2433830345338359</v>
      </c>
      <c r="AK275" s="15">
        <f t="shared" si="143"/>
        <v>7.2433830345338359</v>
      </c>
      <c r="AL275" s="15">
        <f t="shared" si="143"/>
        <v>7.2433830345338359</v>
      </c>
      <c r="AM275" s="15">
        <f t="shared" si="143"/>
        <v>7.2433830345338359</v>
      </c>
      <c r="AN275" s="15">
        <f t="shared" si="143"/>
        <v>7.2433830345338359</v>
      </c>
      <c r="AO275" s="15">
        <f t="shared" si="143"/>
        <v>7.2433830345338359</v>
      </c>
      <c r="AP275" s="15">
        <f t="shared" si="143"/>
        <v>7.2433830345338359</v>
      </c>
      <c r="AQ275" s="15">
        <f t="shared" si="143"/>
        <v>7.2433830345338359</v>
      </c>
      <c r="AR275" s="15">
        <f t="shared" si="143"/>
        <v>7.2433830345338359</v>
      </c>
      <c r="AS275" s="15">
        <f t="shared" si="143"/>
        <v>7.2433830345338359</v>
      </c>
      <c r="AT275" s="15">
        <f t="shared" si="143"/>
        <v>7.2433830345338359</v>
      </c>
      <c r="AU275" s="15">
        <f t="shared" si="143"/>
        <v>7.2433830345338359</v>
      </c>
      <c r="AV275" s="15">
        <f t="shared" si="143"/>
        <v>7.2433830345338359</v>
      </c>
      <c r="AW275" s="15">
        <f t="shared" si="143"/>
        <v>7.2664018390517446</v>
      </c>
      <c r="AX275" s="15">
        <f t="shared" si="143"/>
        <v>7.2203642300159272</v>
      </c>
      <c r="AY275" s="15">
        <f t="shared" si="143"/>
        <v>7.2433830345338359</v>
      </c>
      <c r="AZ275" s="15">
        <f t="shared" si="143"/>
        <v>7.2433830345338359</v>
      </c>
      <c r="BA275" s="15">
        <f t="shared" si="143"/>
        <v>7.2433830345338359</v>
      </c>
      <c r="BB275" s="15">
        <f t="shared" si="143"/>
        <v>7.2433830345338359</v>
      </c>
      <c r="BC275" s="15">
        <f t="shared" si="143"/>
        <v>7.2433830345338359</v>
      </c>
      <c r="BD275" s="15">
        <f t="shared" si="143"/>
        <v>7.2433830345338359</v>
      </c>
      <c r="BE275" s="15">
        <f t="shared" si="143"/>
        <v>7.2433830345338359</v>
      </c>
      <c r="BF275" s="15">
        <f>(BF168+(BF25+BF26+BF27)+(BF30*0.85)+(BF31*0.95)+(BF32*0.97)+(BF33*0.85)+BF180)/((BF50*0.05+BF51*0.15+BF52*0.05+BF53*0.03+BF54*0.15)-(BF183+BF184)-(BF185*1.2))</f>
        <v>10.592100062043778</v>
      </c>
      <c r="BG275" s="54">
        <v>10.59</v>
      </c>
    </row>
    <row r="276" spans="1:59" x14ac:dyDescent="0.25">
      <c r="A276" s="18" t="s">
        <v>6</v>
      </c>
      <c r="AC276" s="52">
        <v>4.84</v>
      </c>
      <c r="AD276" s="15">
        <f>(AD168+SUM(AD25:AD29)+(AD30*0.75)+(AD31*0.95)+(AD32*0.9)+(AD33*0.75)+AD181)/((AD50*0.1+AD51*0.25+AD52*0.05+AD53*0.1+AD54*0.25)-(AD183+AD184)-((AD185+AD186)*1.2))</f>
        <v>4.8435620581540411</v>
      </c>
      <c r="AE276" s="15">
        <f t="shared" ref="AE276:BE276" si="144">(AE168+SUM(AE25:AE29)+(AE30*0.75)+(AE31*0.95)+(AE32*0.9)+(AE33*0.75)+AE181)/((AE50*0.1+AE51*0.25+AE52*0.05+AE53*0.1+AE54*0.25)-(AE183+AE184)-((AE185+AE186)*1.2))</f>
        <v>4.8435620581540411</v>
      </c>
      <c r="AF276" s="15">
        <f t="shared" si="144"/>
        <v>5.0206618938579277</v>
      </c>
      <c r="AG276" s="15">
        <f t="shared" si="144"/>
        <v>5.0206618938579277</v>
      </c>
      <c r="AH276" s="15">
        <f t="shared" si="144"/>
        <v>5.0206618938579277</v>
      </c>
      <c r="AI276" s="15">
        <f t="shared" si="144"/>
        <v>5.0206618938579277</v>
      </c>
      <c r="AJ276" s="15">
        <f t="shared" si="144"/>
        <v>5.0206618938579277</v>
      </c>
      <c r="AK276" s="15">
        <f t="shared" si="144"/>
        <v>5.0206618938579277</v>
      </c>
      <c r="AL276" s="15">
        <f t="shared" si="144"/>
        <v>5.0206618938579277</v>
      </c>
      <c r="AM276" s="15">
        <f t="shared" si="144"/>
        <v>5.0206618938579277</v>
      </c>
      <c r="AN276" s="15">
        <f t="shared" si="144"/>
        <v>5.0206618938579277</v>
      </c>
      <c r="AO276" s="15">
        <f t="shared" si="144"/>
        <v>5.0206618938579277</v>
      </c>
      <c r="AP276" s="15">
        <f t="shared" si="144"/>
        <v>5.0206618938579277</v>
      </c>
      <c r="AQ276" s="15">
        <f t="shared" si="144"/>
        <v>5.0206618938579277</v>
      </c>
      <c r="AR276" s="15">
        <f t="shared" si="144"/>
        <v>5.0206618938579277</v>
      </c>
      <c r="AS276" s="15">
        <f t="shared" si="144"/>
        <v>5.0206618938579277</v>
      </c>
      <c r="AT276" s="15">
        <f t="shared" si="144"/>
        <v>5.0206618938579277</v>
      </c>
      <c r="AU276" s="15">
        <f t="shared" si="144"/>
        <v>5.0206618938579277</v>
      </c>
      <c r="AV276" s="15">
        <f t="shared" si="144"/>
        <v>5.0206618938579277</v>
      </c>
      <c r="AW276" s="15">
        <f t="shared" si="144"/>
        <v>5.0206618938579277</v>
      </c>
      <c r="AX276" s="15">
        <f t="shared" si="144"/>
        <v>5.0206618938579277</v>
      </c>
      <c r="AY276" s="15">
        <f t="shared" si="144"/>
        <v>5.0206618938579277</v>
      </c>
      <c r="AZ276" s="15">
        <f t="shared" si="144"/>
        <v>5.0206618938579277</v>
      </c>
      <c r="BA276" s="15">
        <f t="shared" si="144"/>
        <v>5.0206618938579277</v>
      </c>
      <c r="BB276" s="15">
        <f t="shared" si="144"/>
        <v>5.0206618938579277</v>
      </c>
      <c r="BC276" s="15">
        <f t="shared" si="144"/>
        <v>5.0206618938579277</v>
      </c>
      <c r="BD276" s="15">
        <f t="shared" si="144"/>
        <v>5.0206618938579277</v>
      </c>
      <c r="BE276" s="15">
        <f t="shared" si="144"/>
        <v>5.0206618938579277</v>
      </c>
      <c r="BF276" s="15">
        <f>(BF168+SUM(BF25:BF29)+(BF30*0.75)+(BF31*0.95)+(BF32*0.6)+(BF33*0.75)+BF181)/((BF50*0.1+BF51*0.25+BF52*0.05+BF53*0.4+BF54*0.25)-(BF183+BF184)-((BF185+BF186)*1.2))</f>
        <v>2.9341087715478098</v>
      </c>
      <c r="BG276" s="54">
        <v>2.93</v>
      </c>
    </row>
    <row r="277" spans="1:59" x14ac:dyDescent="0.25">
      <c r="A277" s="18" t="s">
        <v>7</v>
      </c>
      <c r="AC277" s="52">
        <v>2.57</v>
      </c>
      <c r="AD277" s="15">
        <f>(AD168+SUM(AD25:AD29)+(AD30*0.6)+(AD31*0.9)+(AD32*0.6)+(AD33*0.6)+(AD36*0.6*0.96)+(AD37*0.6*0.96)+(AD38*0.9*0.97)+(AD39*0.6*0.95)+(AD40*0.6*0.96)+AD182)/((AD50*0.2)+(AD51*0.4)+(AD52*0.1)+(AD53*0.4)+(AD54*0.4)-(AD183+AD184)-(AD185+AD186+AD187)*1.2)</f>
        <v>2.5672320783427498</v>
      </c>
      <c r="AE277" s="15">
        <f t="shared" ref="AE277:BE277" si="145">(AE168+SUM(AE25:AE29)+(AE30*0.6)+(AE31*0.9)+(AE32*0.6)+(AE33*0.6)+(AE36*0.6*0.96)+(AE37*0.6*0.96)+(AE38*0.9*0.97)+(AE39*0.6*0.95)+(AE40*0.6*0.96)+AE182)/((AE50*0.2)+(AE51*0.4)+(AE52*0.1)+(AE53*0.4)+(AE54*0.4)-(AE183+AE184)-(AE185+AE186+AE187)*1.2)</f>
        <v>2.5670875304962326</v>
      </c>
      <c r="AF277" s="15">
        <f t="shared" si="145"/>
        <v>2.3634389438772216</v>
      </c>
      <c r="AG277" s="15">
        <f t="shared" si="145"/>
        <v>2.3655031524392851</v>
      </c>
      <c r="AH277" s="15">
        <f t="shared" si="145"/>
        <v>2.3613747353151582</v>
      </c>
      <c r="AI277" s="15">
        <f t="shared" si="145"/>
        <v>2.3534306599399439</v>
      </c>
      <c r="AJ277" s="15">
        <f t="shared" si="145"/>
        <v>2.3586954343027826</v>
      </c>
      <c r="AK277" s="15">
        <f t="shared" si="145"/>
        <v>2.3481658855771053</v>
      </c>
      <c r="AL277" s="15">
        <f t="shared" si="145"/>
        <v>2.3634389438772216</v>
      </c>
      <c r="AM277" s="15">
        <f t="shared" si="145"/>
        <v>2.3634389438772216</v>
      </c>
      <c r="AN277" s="15">
        <f t="shared" si="145"/>
        <v>2.3634389438772216</v>
      </c>
      <c r="AO277" s="15">
        <f t="shared" si="145"/>
        <v>2.3634389438772216</v>
      </c>
      <c r="AP277" s="15">
        <f t="shared" si="145"/>
        <v>2.3685994652823803</v>
      </c>
      <c r="AQ277" s="15">
        <f t="shared" si="145"/>
        <v>2.358278422472063</v>
      </c>
      <c r="AR277" s="15">
        <f t="shared" si="145"/>
        <v>2.3434223760026667</v>
      </c>
      <c r="AS277" s="15">
        <f t="shared" si="145"/>
        <v>2.3434849277772747</v>
      </c>
      <c r="AT277" s="15">
        <f t="shared" si="145"/>
        <v>2.3433598242280587</v>
      </c>
      <c r="AU277" s="15">
        <f t="shared" si="145"/>
        <v>2.333518345023069</v>
      </c>
      <c r="AV277" s="15">
        <f t="shared" si="145"/>
        <v>2.333518345023069</v>
      </c>
      <c r="AW277" s="15">
        <f t="shared" si="145"/>
        <v>2.333518345023069</v>
      </c>
      <c r="AX277" s="15">
        <f t="shared" si="145"/>
        <v>2.333518345023069</v>
      </c>
      <c r="AY277" s="15">
        <f t="shared" si="145"/>
        <v>2.3435266289603467</v>
      </c>
      <c r="AZ277" s="15">
        <f t="shared" si="145"/>
        <v>2.3235100610857917</v>
      </c>
      <c r="BA277" s="15">
        <f t="shared" si="145"/>
        <v>2.3375216585979799</v>
      </c>
      <c r="BB277" s="15">
        <f t="shared" si="145"/>
        <v>2.3395233153854358</v>
      </c>
      <c r="BC277" s="15">
        <f t="shared" si="145"/>
        <v>2.3355200018105244</v>
      </c>
      <c r="BD277" s="15">
        <f t="shared" si="145"/>
        <v>2.3363926776451276</v>
      </c>
      <c r="BE277" s="15">
        <f t="shared" si="145"/>
        <v>2.3667302883299999</v>
      </c>
      <c r="BF277" s="15">
        <f>(BF168+SUM(BF25:BF29)+(BF30*0.6)+(BF31*0.9)+(BF32*0.95)+(BF33*0.6)+(BF36*0.6*0.96)+(BF37*0.6*0.96)+(BF38*0.9*0.97)+(BF39*0.95*0.9)+(BF40*0.6*0.96)+BF182)/((BF50*0.2)+(BF51*0.4)+(BF52*0.1)+(BF53*0.05)+(BF54*0.4)-(BF183+BF184)-(BF185+BF186+BF187)*1.2)</f>
        <v>3.2323041509752062</v>
      </c>
      <c r="BG277" s="54">
        <v>3.23</v>
      </c>
    </row>
    <row r="278" spans="1:59" x14ac:dyDescent="0.25">
      <c r="A278" s="17" t="s">
        <v>220</v>
      </c>
      <c r="AC278" s="52" t="s">
        <v>231</v>
      </c>
      <c r="AD278" s="53" t="s">
        <v>228</v>
      </c>
      <c r="AE278" t="s">
        <v>231</v>
      </c>
      <c r="BF278" s="53" t="s">
        <v>235</v>
      </c>
      <c r="BG278" s="54" t="s">
        <v>231</v>
      </c>
    </row>
    <row r="279" spans="1:59" x14ac:dyDescent="0.25">
      <c r="A279" s="18" t="s">
        <v>3</v>
      </c>
      <c r="AC279" s="52">
        <v>3.11</v>
      </c>
      <c r="AD279" s="15">
        <f>(AD168+AD178)/(AD173-AD183)</f>
        <v>3.1057879955486647</v>
      </c>
      <c r="AE279" s="15">
        <f t="shared" ref="AE279:BF279" si="146">(AE168+AE178)/(AE173-AE183)</f>
        <v>3.1057879955486647</v>
      </c>
      <c r="AF279" s="15">
        <f t="shared" si="146"/>
        <v>2.8764439431574562</v>
      </c>
      <c r="AG279" s="15">
        <f t="shared" si="146"/>
        <v>2.8764439431574562</v>
      </c>
      <c r="AH279" s="15">
        <f t="shared" si="146"/>
        <v>2.8764439431574562</v>
      </c>
      <c r="AI279" s="15">
        <f t="shared" si="146"/>
        <v>2.8764439431574562</v>
      </c>
      <c r="AJ279" s="15">
        <f t="shared" si="146"/>
        <v>2.8764439431574562</v>
      </c>
      <c r="AK279" s="15">
        <f t="shared" si="146"/>
        <v>2.8764439431574562</v>
      </c>
      <c r="AL279" s="15">
        <f t="shared" si="146"/>
        <v>2.8764439431574562</v>
      </c>
      <c r="AM279" s="15">
        <f t="shared" si="146"/>
        <v>2.8764439431574562</v>
      </c>
      <c r="AN279" s="15">
        <f t="shared" si="146"/>
        <v>2.8764439431574562</v>
      </c>
      <c r="AO279" s="15">
        <f t="shared" si="146"/>
        <v>2.8764439431574562</v>
      </c>
      <c r="AP279" s="15">
        <f t="shared" si="146"/>
        <v>2.8764439431574562</v>
      </c>
      <c r="AQ279" s="15">
        <f t="shared" si="146"/>
        <v>2.8764439431574562</v>
      </c>
      <c r="AR279" s="15">
        <f t="shared" si="146"/>
        <v>2.8764439431574562</v>
      </c>
      <c r="AS279" s="15">
        <f t="shared" si="146"/>
        <v>2.8764439431574562</v>
      </c>
      <c r="AT279" s="15">
        <f t="shared" si="146"/>
        <v>2.8764439431574562</v>
      </c>
      <c r="AU279" s="15">
        <f t="shared" si="146"/>
        <v>2.9225122138521678</v>
      </c>
      <c r="AV279" s="15">
        <f t="shared" si="146"/>
        <v>2.8303756724627451</v>
      </c>
      <c r="AW279" s="15">
        <f t="shared" si="146"/>
        <v>2.9109951461784895</v>
      </c>
      <c r="AX279" s="15">
        <f t="shared" si="146"/>
        <v>2.8418927401364229</v>
      </c>
      <c r="AY279" s="15">
        <f t="shared" si="146"/>
        <v>2.8764439431574562</v>
      </c>
      <c r="AZ279" s="15">
        <f t="shared" si="146"/>
        <v>2.8764439431574562</v>
      </c>
      <c r="BA279" s="15">
        <f t="shared" si="146"/>
        <v>2.8764439431574562</v>
      </c>
      <c r="BB279" s="15">
        <f t="shared" si="146"/>
        <v>2.8764439431574562</v>
      </c>
      <c r="BC279" s="15">
        <f t="shared" si="146"/>
        <v>2.8764439431574562</v>
      </c>
      <c r="BD279" s="15">
        <f t="shared" si="146"/>
        <v>2.8764439431574562</v>
      </c>
      <c r="BE279" s="15">
        <f t="shared" si="146"/>
        <v>2.8764439431574562</v>
      </c>
      <c r="BF279" s="15">
        <f t="shared" si="146"/>
        <v>2.8764439431574562</v>
      </c>
      <c r="BG279" s="54">
        <v>2.88</v>
      </c>
    </row>
    <row r="280" spans="1:59" x14ac:dyDescent="0.25">
      <c r="A280" s="18" t="s">
        <v>4</v>
      </c>
      <c r="AC280" s="52">
        <v>2.63</v>
      </c>
      <c r="AD280" s="15">
        <f>(AD168+AD179)/(AD174-(AD184+AD183))</f>
        <v>2.6314131654537349</v>
      </c>
      <c r="AE280" s="15">
        <f t="shared" ref="AE280:BF280" si="147">(AE168+AE179)/(AE174-(AE184+AE183))</f>
        <v>2.6314131654537349</v>
      </c>
      <c r="AF280" s="15">
        <f t="shared" si="147"/>
        <v>2.7839368426465714</v>
      </c>
      <c r="AG280" s="15">
        <f t="shared" si="147"/>
        <v>2.7839368426465714</v>
      </c>
      <c r="AH280" s="15">
        <f t="shared" si="147"/>
        <v>2.7839368426465714</v>
      </c>
      <c r="AI280" s="15">
        <f t="shared" si="147"/>
        <v>2.7839368426465714</v>
      </c>
      <c r="AJ280" s="15">
        <f t="shared" si="147"/>
        <v>2.7839368426465714</v>
      </c>
      <c r="AK280" s="15">
        <f t="shared" si="147"/>
        <v>2.7839368426465714</v>
      </c>
      <c r="AL280" s="15">
        <f t="shared" si="147"/>
        <v>2.7839368426465714</v>
      </c>
      <c r="AM280" s="15">
        <f t="shared" si="147"/>
        <v>2.7839368426465714</v>
      </c>
      <c r="AN280" s="15">
        <f t="shared" si="147"/>
        <v>2.7839368426465714</v>
      </c>
      <c r="AO280" s="15">
        <f t="shared" si="147"/>
        <v>2.7839368426465714</v>
      </c>
      <c r="AP280" s="15">
        <f t="shared" si="147"/>
        <v>2.7839368426465714</v>
      </c>
      <c r="AQ280" s="15">
        <f t="shared" si="147"/>
        <v>2.7839368426465714</v>
      </c>
      <c r="AR280" s="15">
        <f t="shared" si="147"/>
        <v>2.7839368426465714</v>
      </c>
      <c r="AS280" s="15">
        <f t="shared" si="147"/>
        <v>2.7839368426465714</v>
      </c>
      <c r="AT280" s="15">
        <f t="shared" si="147"/>
        <v>2.7839368426465714</v>
      </c>
      <c r="AU280" s="15">
        <f t="shared" si="147"/>
        <v>2.8270915632511899</v>
      </c>
      <c r="AV280" s="15">
        <f t="shared" si="147"/>
        <v>2.7407821220419528</v>
      </c>
      <c r="AW280" s="15">
        <f t="shared" si="147"/>
        <v>2.8163028831000352</v>
      </c>
      <c r="AX280" s="15">
        <f t="shared" si="147"/>
        <v>2.7515708021931071</v>
      </c>
      <c r="AY280" s="15">
        <f t="shared" si="147"/>
        <v>2.7839368426465714</v>
      </c>
      <c r="AZ280" s="15">
        <f t="shared" si="147"/>
        <v>2.7839368426465714</v>
      </c>
      <c r="BA280" s="15">
        <f t="shared" si="147"/>
        <v>2.7839368426465714</v>
      </c>
      <c r="BB280" s="15">
        <f t="shared" si="147"/>
        <v>2.7839368426465714</v>
      </c>
      <c r="BC280" s="15">
        <f t="shared" si="147"/>
        <v>2.7839368426465714</v>
      </c>
      <c r="BD280" s="15">
        <f t="shared" si="147"/>
        <v>2.7839368426465714</v>
      </c>
      <c r="BE280" s="15">
        <f t="shared" si="147"/>
        <v>2.7839368426465714</v>
      </c>
      <c r="BF280" s="15">
        <f t="shared" si="147"/>
        <v>2.7839368426465714</v>
      </c>
      <c r="BG280" s="54">
        <v>2.78</v>
      </c>
    </row>
    <row r="281" spans="1:59" x14ac:dyDescent="0.25">
      <c r="A281" s="18" t="s">
        <v>5</v>
      </c>
      <c r="AC281" s="52">
        <v>8.6199999999999992</v>
      </c>
      <c r="AD281" s="15">
        <f>(AD168+AD169+AD180)/(AD175-(AD183+AD184)-(AD185*1.2))</f>
        <v>8.6183920642101057</v>
      </c>
      <c r="AE281" s="15">
        <f t="shared" ref="AE281:BF281" si="148">(AE168+AE169+AE180)/(AE175-(AE183+AE184)-(AE185*1.2))</f>
        <v>8.6183920642101057</v>
      </c>
      <c r="AF281" s="15">
        <f t="shared" si="148"/>
        <v>8.3967799808419024</v>
      </c>
      <c r="AG281" s="15">
        <f t="shared" si="148"/>
        <v>8.3967799808419024</v>
      </c>
      <c r="AH281" s="15">
        <f t="shared" si="148"/>
        <v>8.3967799808419024</v>
      </c>
      <c r="AI281" s="15">
        <f t="shared" si="148"/>
        <v>8.3967799808419024</v>
      </c>
      <c r="AJ281" s="15">
        <f t="shared" si="148"/>
        <v>8.3967799808419024</v>
      </c>
      <c r="AK281" s="15">
        <f t="shared" si="148"/>
        <v>8.3967799808419024</v>
      </c>
      <c r="AL281" s="15">
        <f t="shared" si="148"/>
        <v>8.3967799808419024</v>
      </c>
      <c r="AM281" s="15">
        <f t="shared" si="148"/>
        <v>8.3967799808419024</v>
      </c>
      <c r="AN281" s="15">
        <f t="shared" si="148"/>
        <v>8.3967799808419024</v>
      </c>
      <c r="AO281" s="15">
        <f t="shared" si="148"/>
        <v>8.3967799808419024</v>
      </c>
      <c r="AP281" s="15">
        <f t="shared" si="148"/>
        <v>8.3967799808419024</v>
      </c>
      <c r="AQ281" s="15">
        <f t="shared" si="148"/>
        <v>8.3967799808419024</v>
      </c>
      <c r="AR281" s="15">
        <f t="shared" si="148"/>
        <v>8.3967799808419024</v>
      </c>
      <c r="AS281" s="15">
        <f t="shared" si="148"/>
        <v>8.3967799808419024</v>
      </c>
      <c r="AT281" s="15">
        <f t="shared" si="148"/>
        <v>8.3967799808419024</v>
      </c>
      <c r="AU281" s="15">
        <f t="shared" si="148"/>
        <v>8.3967799808419024</v>
      </c>
      <c r="AV281" s="15">
        <f t="shared" si="148"/>
        <v>8.3967799808419024</v>
      </c>
      <c r="AW281" s="15">
        <f t="shared" si="148"/>
        <v>8.4226493221303258</v>
      </c>
      <c r="AX281" s="15">
        <f t="shared" si="148"/>
        <v>8.3709106395534771</v>
      </c>
      <c r="AY281" s="15">
        <f t="shared" si="148"/>
        <v>8.3967799808419024</v>
      </c>
      <c r="AZ281" s="15">
        <f t="shared" si="148"/>
        <v>8.3967799808419024</v>
      </c>
      <c r="BA281" s="15">
        <f t="shared" si="148"/>
        <v>8.3967799808419024</v>
      </c>
      <c r="BB281" s="15">
        <f t="shared" si="148"/>
        <v>8.3967799808419024</v>
      </c>
      <c r="BC281" s="15">
        <f t="shared" si="148"/>
        <v>8.3967799808419024</v>
      </c>
      <c r="BD281" s="15">
        <f t="shared" si="148"/>
        <v>8.3967799808419024</v>
      </c>
      <c r="BE281" s="15">
        <f t="shared" si="148"/>
        <v>8.3967799808419024</v>
      </c>
      <c r="BF281" s="15">
        <f t="shared" si="148"/>
        <v>8.3967799808419024</v>
      </c>
      <c r="BG281" s="54">
        <v>8.4</v>
      </c>
    </row>
    <row r="282" spans="1:59" x14ac:dyDescent="0.25">
      <c r="A282" s="18" t="s">
        <v>6</v>
      </c>
      <c r="AC282" s="52">
        <v>4.5</v>
      </c>
      <c r="AD282" s="15">
        <f>(AD168+AD170+AD181)/(AD176-(AD183+AD184)-((AD185+AD186)*1.2))</f>
        <v>4.4956358603885889</v>
      </c>
      <c r="AE282" s="15">
        <f t="shared" ref="AE282:BF282" si="149">(AE168+AE170+AE181)/(AE176-(AE183+AE184)-((AE185+AE186)*1.2))</f>
        <v>4.4956358603885889</v>
      </c>
      <c r="AF282" s="15">
        <f t="shared" si="149"/>
        <v>4.5599304033286732</v>
      </c>
      <c r="AG282" s="15">
        <f t="shared" si="149"/>
        <v>4.5599304033286732</v>
      </c>
      <c r="AH282" s="15">
        <f t="shared" si="149"/>
        <v>4.5599304033286732</v>
      </c>
      <c r="AI282" s="15">
        <f t="shared" si="149"/>
        <v>4.5599304033286732</v>
      </c>
      <c r="AJ282" s="15">
        <f t="shared" si="149"/>
        <v>4.5599304033286732</v>
      </c>
      <c r="AK282" s="15">
        <f t="shared" si="149"/>
        <v>4.5599304033286732</v>
      </c>
      <c r="AL282" s="15">
        <f t="shared" si="149"/>
        <v>4.5599304033286732</v>
      </c>
      <c r="AM282" s="15">
        <f t="shared" si="149"/>
        <v>4.5599304033286732</v>
      </c>
      <c r="AN282" s="15">
        <f t="shared" si="149"/>
        <v>4.5599304033286732</v>
      </c>
      <c r="AO282" s="15">
        <f t="shared" si="149"/>
        <v>4.5599304033286732</v>
      </c>
      <c r="AP282" s="15">
        <f t="shared" si="149"/>
        <v>4.5599304033286732</v>
      </c>
      <c r="AQ282" s="15">
        <f t="shared" si="149"/>
        <v>4.5599304033286732</v>
      </c>
      <c r="AR282" s="15">
        <f t="shared" si="149"/>
        <v>4.5599304033286732</v>
      </c>
      <c r="AS282" s="15">
        <f t="shared" si="149"/>
        <v>4.5599304033286732</v>
      </c>
      <c r="AT282" s="15">
        <f t="shared" si="149"/>
        <v>4.5599304033286732</v>
      </c>
      <c r="AU282" s="15">
        <f t="shared" si="149"/>
        <v>4.5599304033286732</v>
      </c>
      <c r="AV282" s="15">
        <f t="shared" si="149"/>
        <v>4.5599304033286732</v>
      </c>
      <c r="AW282" s="15">
        <f t="shared" si="149"/>
        <v>4.5599304033286732</v>
      </c>
      <c r="AX282" s="15">
        <f t="shared" si="149"/>
        <v>4.5599304033286732</v>
      </c>
      <c r="AY282" s="15">
        <f t="shared" si="149"/>
        <v>4.5599304033286732</v>
      </c>
      <c r="AZ282" s="15">
        <f t="shared" si="149"/>
        <v>4.5599304033286732</v>
      </c>
      <c r="BA282" s="15">
        <f t="shared" si="149"/>
        <v>4.5599304033286732</v>
      </c>
      <c r="BB282" s="15">
        <f t="shared" si="149"/>
        <v>4.5599304033286732</v>
      </c>
      <c r="BC282" s="15">
        <f t="shared" si="149"/>
        <v>4.5599304033286732</v>
      </c>
      <c r="BD282" s="15">
        <f t="shared" si="149"/>
        <v>4.5599304033286732</v>
      </c>
      <c r="BE282" s="15">
        <f t="shared" si="149"/>
        <v>4.5599304033286732</v>
      </c>
      <c r="BF282" s="15">
        <f t="shared" si="149"/>
        <v>4.5599304033286732</v>
      </c>
      <c r="BG282" s="54">
        <v>4.5599999999999996</v>
      </c>
    </row>
    <row r="283" spans="1:59" x14ac:dyDescent="0.25">
      <c r="A283" s="18" t="s">
        <v>7</v>
      </c>
      <c r="AC283" s="52">
        <v>2.97</v>
      </c>
      <c r="AD283" s="15">
        <f>(AD168+SUM(AD25:AD29)+(AD30*0.6)+(AD31*0.9)+(AD32*0.75)+(AD33*0.6)+(AD36*0.9*0.9)+(AD37*0.6*0.96)+(AD38*0.9*0.97)+(AD39*0.75*0.97)+(AD40*0.6*0.96)+AD182)/((AD50*0.2)+(AD51*0.4)+(AD52*0.1)+(AD53*0.25)+(AD54*0.4)-(AD183+AD184)-(AD185+AD186+AD187)*1.2)</f>
        <v>2.9689869920223235</v>
      </c>
      <c r="AE283" s="15">
        <f t="shared" ref="AE283:BE283" si="150">(AE168+SUM(AE25:AE29)+(AE30*0.6)+(AE31*0.9)+(AE32*0.75)+(AE33*0.6)+(AE36*0.9*0.9)+(AE37*0.6*0.96)+(AE38*0.9*0.97)+(AE39*0.75*0.97)+(AE40*0.6*0.96)+AE182)/((AE50*0.2)+(AE51*0.4)+(AE52*0.1)+(AE53*0.25)+(AE54*0.4)-(AE183+AE184)-(AE185+AE186+AE187)*1.2)</f>
        <v>2.9668622195209693</v>
      </c>
      <c r="AF283" s="15">
        <f t="shared" si="150"/>
        <v>2.8118888879651536</v>
      </c>
      <c r="AG283" s="15">
        <f t="shared" si="150"/>
        <v>2.8141201222379904</v>
      </c>
      <c r="AH283" s="15">
        <f t="shared" si="150"/>
        <v>2.8096576536923172</v>
      </c>
      <c r="AI283" s="15">
        <f t="shared" si="150"/>
        <v>2.8010707823998855</v>
      </c>
      <c r="AJ283" s="15">
        <f t="shared" si="150"/>
        <v>2.8038034809411121</v>
      </c>
      <c r="AK283" s="15">
        <f t="shared" si="150"/>
        <v>2.7983380838586589</v>
      </c>
      <c r="AL283" s="15">
        <f t="shared" si="150"/>
        <v>2.8118888879651536</v>
      </c>
      <c r="AM283" s="15">
        <f t="shared" si="150"/>
        <v>2.8118888879651536</v>
      </c>
      <c r="AN283" s="15">
        <f t="shared" si="150"/>
        <v>2.8118888879651536</v>
      </c>
      <c r="AO283" s="15">
        <f t="shared" si="150"/>
        <v>2.8118888879651536</v>
      </c>
      <c r="AP283" s="15">
        <f t="shared" si="150"/>
        <v>2.8174669736472451</v>
      </c>
      <c r="AQ283" s="15">
        <f t="shared" si="150"/>
        <v>2.8063108022830621</v>
      </c>
      <c r="AR283" s="15">
        <f t="shared" si="150"/>
        <v>2.790252676834617</v>
      </c>
      <c r="AS283" s="15">
        <f t="shared" si="150"/>
        <v>2.7885454445500981</v>
      </c>
      <c r="AT283" s="15">
        <f t="shared" si="150"/>
        <v>2.7919599091191358</v>
      </c>
      <c r="AU283" s="15">
        <f t="shared" si="150"/>
        <v>2.7765891841284835</v>
      </c>
      <c r="AV283" s="15">
        <f t="shared" si="150"/>
        <v>2.7765891841284835</v>
      </c>
      <c r="AW283" s="15">
        <f t="shared" si="150"/>
        <v>2.7765891841284835</v>
      </c>
      <c r="AX283" s="15">
        <f t="shared" si="150"/>
        <v>2.7765891841284835</v>
      </c>
      <c r="AY283" s="15">
        <f t="shared" si="150"/>
        <v>2.7874072896937521</v>
      </c>
      <c r="AZ283" s="15">
        <f t="shared" si="150"/>
        <v>2.7657710785632155</v>
      </c>
      <c r="BA283" s="15">
        <f t="shared" si="150"/>
        <v>2.7809164263545911</v>
      </c>
      <c r="BB283" s="15">
        <f t="shared" si="150"/>
        <v>2.7830800474676449</v>
      </c>
      <c r="BC283" s="15">
        <f t="shared" si="150"/>
        <v>2.7787528052415373</v>
      </c>
      <c r="BD283" s="15">
        <f t="shared" si="150"/>
        <v>2.7796960937575466</v>
      </c>
      <c r="BE283" s="15">
        <f t="shared" si="150"/>
        <v>2.8124884762522662</v>
      </c>
      <c r="BF283" s="15">
        <f>(BF168+SUM(BF25:BF29)+(BF30*0.6)+(BF31*0.9)+(BF32*0.75)+(BF33*0.6)+(BF36*0.4*0.93)+(BF37*0.6*0.96)+(BF38*0.9*0.97)+(BF39*0.75*0.97)+(BF40*0.6*0.96)+BF182)/((BF50*0.2)+(BF51*0.4)+(BF52*0.1)+(BF53*0.25)+(BF54*0.4)-(BF183+BF184)-(BF185+BF186+BF187)*1.2)</f>
        <v>2.5845967599775781</v>
      </c>
      <c r="BG283" s="54">
        <v>2.58</v>
      </c>
    </row>
    <row r="284" spans="1:59" x14ac:dyDescent="0.25">
      <c r="A284" s="17" t="s">
        <v>221</v>
      </c>
      <c r="AC284" s="52" t="s">
        <v>231</v>
      </c>
      <c r="AD284" s="53" t="s">
        <v>229</v>
      </c>
      <c r="AE284" t="s">
        <v>231</v>
      </c>
      <c r="BF284" s="53" t="s">
        <v>236</v>
      </c>
      <c r="BG284" s="54" t="s">
        <v>231</v>
      </c>
    </row>
    <row r="285" spans="1:59" x14ac:dyDescent="0.25">
      <c r="A285" s="18" t="s">
        <v>3</v>
      </c>
      <c r="AC285" s="52">
        <v>2.89</v>
      </c>
      <c r="AD285" s="15">
        <f>(AD168+AD178)/((AD51*0.15+AD50*0.05+AD52*0.05+AD53*0.1+AD54*0.3)-AD183)</f>
        <v>2.886400779230216</v>
      </c>
      <c r="AE285" s="15">
        <f t="shared" ref="AE285:BE285" si="151">(AE168+AE178)/((AE51*0.15+AE50*0.05+AE52*0.05+AE53*0.1+AE54*0.3)-AE183)</f>
        <v>2.886400779230216</v>
      </c>
      <c r="AF285" s="15">
        <f t="shared" si="151"/>
        <v>2.6971162553984147</v>
      </c>
      <c r="AG285" s="15">
        <f t="shared" si="151"/>
        <v>2.6971162553984147</v>
      </c>
      <c r="AH285" s="15">
        <f t="shared" si="151"/>
        <v>2.6971162553984147</v>
      </c>
      <c r="AI285" s="15">
        <f t="shared" si="151"/>
        <v>2.6971162553984147</v>
      </c>
      <c r="AJ285" s="15">
        <f t="shared" si="151"/>
        <v>2.6971162553984147</v>
      </c>
      <c r="AK285" s="15">
        <f t="shared" si="151"/>
        <v>2.6971162553984147</v>
      </c>
      <c r="AL285" s="15">
        <f t="shared" si="151"/>
        <v>2.6971162553984147</v>
      </c>
      <c r="AM285" s="15">
        <f t="shared" si="151"/>
        <v>2.6971162553984147</v>
      </c>
      <c r="AN285" s="15">
        <f t="shared" si="151"/>
        <v>2.6971162553984147</v>
      </c>
      <c r="AO285" s="15">
        <f t="shared" si="151"/>
        <v>2.6971162553984147</v>
      </c>
      <c r="AP285" s="15">
        <f t="shared" si="151"/>
        <v>2.6971162553984147</v>
      </c>
      <c r="AQ285" s="15">
        <f t="shared" si="151"/>
        <v>2.6971162553984147</v>
      </c>
      <c r="AR285" s="15">
        <f t="shared" si="151"/>
        <v>2.6971162553984147</v>
      </c>
      <c r="AS285" s="15">
        <f t="shared" si="151"/>
        <v>2.6971162553984147</v>
      </c>
      <c r="AT285" s="15">
        <f t="shared" si="151"/>
        <v>2.6971162553984147</v>
      </c>
      <c r="AU285" s="15">
        <f t="shared" si="151"/>
        <v>2.7403124671808041</v>
      </c>
      <c r="AV285" s="15">
        <f t="shared" si="151"/>
        <v>2.6539200436160257</v>
      </c>
      <c r="AW285" s="15">
        <f t="shared" si="151"/>
        <v>2.7295134142352069</v>
      </c>
      <c r="AX285" s="15">
        <f t="shared" si="151"/>
        <v>2.664719096561623</v>
      </c>
      <c r="AY285" s="15">
        <f t="shared" si="151"/>
        <v>2.6971162553984147</v>
      </c>
      <c r="AZ285" s="15">
        <f t="shared" si="151"/>
        <v>2.6971162553984147</v>
      </c>
      <c r="BA285" s="15">
        <f t="shared" si="151"/>
        <v>2.6971162553984147</v>
      </c>
      <c r="BB285" s="15">
        <f t="shared" si="151"/>
        <v>2.6971162553984147</v>
      </c>
      <c r="BC285" s="15">
        <f t="shared" si="151"/>
        <v>2.6971162553984147</v>
      </c>
      <c r="BD285" s="15">
        <f t="shared" si="151"/>
        <v>2.6971162553984147</v>
      </c>
      <c r="BE285" s="15">
        <f t="shared" si="151"/>
        <v>2.6971162553984147</v>
      </c>
      <c r="BF285" s="15">
        <f>(BF168+BF178)/((BF51*0.15+BF50*0.05+BF52*0.05+BF53*0.1+BF54*0.07)-BF183)</f>
        <v>2.9821944273463394</v>
      </c>
      <c r="BG285" s="54">
        <v>2.98</v>
      </c>
    </row>
    <row r="286" spans="1:59" x14ac:dyDescent="0.25">
      <c r="A286" s="18" t="s">
        <v>4</v>
      </c>
      <c r="AC286" s="52">
        <v>2.69</v>
      </c>
      <c r="AD286" s="15">
        <f>(AD168+AD179)/((AD50*0.05+AD51*0.15+AD52*0.05+AD53*0.1+AD54*0.1)-(AD184+AD183))</f>
        <v>2.6889606335873903</v>
      </c>
      <c r="AE286" s="15">
        <f t="shared" ref="AE286:BE286" si="152">(AE168+AE179)/((AE50*0.05+AE51*0.15+AE52*0.05+AE53*0.1+AE54*0.1)-(AE184+AE183))</f>
        <v>2.6889606335873903</v>
      </c>
      <c r="AF286" s="15">
        <f t="shared" si="152"/>
        <v>2.8429601579746198</v>
      </c>
      <c r="AG286" s="15">
        <f t="shared" si="152"/>
        <v>2.8429601579746198</v>
      </c>
      <c r="AH286" s="15">
        <f t="shared" si="152"/>
        <v>2.8429601579746198</v>
      </c>
      <c r="AI286" s="15">
        <f t="shared" si="152"/>
        <v>2.8429601579746198</v>
      </c>
      <c r="AJ286" s="15">
        <f t="shared" si="152"/>
        <v>2.8429601579746198</v>
      </c>
      <c r="AK286" s="15">
        <f t="shared" si="152"/>
        <v>2.8429601579746198</v>
      </c>
      <c r="AL286" s="15">
        <f t="shared" si="152"/>
        <v>2.8429601579746198</v>
      </c>
      <c r="AM286" s="15">
        <f t="shared" si="152"/>
        <v>2.8429601579746198</v>
      </c>
      <c r="AN286" s="15">
        <f t="shared" si="152"/>
        <v>2.8429601579746198</v>
      </c>
      <c r="AO286" s="15">
        <f t="shared" si="152"/>
        <v>2.8429601579746198</v>
      </c>
      <c r="AP286" s="15">
        <f t="shared" si="152"/>
        <v>2.8429601579746198</v>
      </c>
      <c r="AQ286" s="15">
        <f t="shared" si="152"/>
        <v>2.8429601579746198</v>
      </c>
      <c r="AR286" s="15">
        <f t="shared" si="152"/>
        <v>2.8429601579746198</v>
      </c>
      <c r="AS286" s="15">
        <f t="shared" si="152"/>
        <v>2.8429601579746198</v>
      </c>
      <c r="AT286" s="15">
        <f t="shared" si="152"/>
        <v>2.8429601579746198</v>
      </c>
      <c r="AU286" s="15">
        <f t="shared" si="152"/>
        <v>2.8870298184022691</v>
      </c>
      <c r="AV286" s="15">
        <f t="shared" si="152"/>
        <v>2.7988904975469704</v>
      </c>
      <c r="AW286" s="15">
        <f t="shared" si="152"/>
        <v>2.8760124032953569</v>
      </c>
      <c r="AX286" s="15">
        <f t="shared" si="152"/>
        <v>2.8099079126538826</v>
      </c>
      <c r="AY286" s="15">
        <f t="shared" si="152"/>
        <v>2.8429601579746198</v>
      </c>
      <c r="AZ286" s="15">
        <f t="shared" si="152"/>
        <v>2.8429601579746198</v>
      </c>
      <c r="BA286" s="15">
        <f t="shared" si="152"/>
        <v>2.8429601579746198</v>
      </c>
      <c r="BB286" s="15">
        <f t="shared" si="152"/>
        <v>2.8429601579746198</v>
      </c>
      <c r="BC286" s="15">
        <f t="shared" si="152"/>
        <v>2.8429601579746198</v>
      </c>
      <c r="BD286" s="15">
        <f t="shared" si="152"/>
        <v>2.8429601579746198</v>
      </c>
      <c r="BE286" s="15">
        <f t="shared" si="152"/>
        <v>2.8429601579746198</v>
      </c>
      <c r="BF286" s="15">
        <f>(BF168+BF179)/((BF50*0.05+BF51*0.15+BF52*0.05+BF53*0.1+BF54*0.23)-(BF184+BF183))</f>
        <v>2.6944332958016286</v>
      </c>
      <c r="BG286" s="54">
        <v>2.69</v>
      </c>
    </row>
    <row r="287" spans="1:59" x14ac:dyDescent="0.25">
      <c r="A287" s="18" t="s">
        <v>5</v>
      </c>
      <c r="AC287" s="52">
        <v>8.2899999999999991</v>
      </c>
      <c r="AD287" s="15">
        <f>(AD168+(AD25+AD26+AD27)+(AD30*0.85)+(AD31*0.95)+(AD32*0.9)+(AD33*0.75)+AD180)/((AD50*0.05+AD51*0.15+AD52*0.05+AD53*0.1+AD54*0.25)-(AD183+AD184)-(AD185*1.2))</f>
        <v>8.2912829542172251</v>
      </c>
      <c r="AE287" s="15">
        <f t="shared" ref="AE287:BE287" si="153">(AE168+(AE25+AE26+AE27)+(AE30*0.85)+(AE31*0.95)+(AE32*0.9)+(AE33*0.75)+AE180)/((AE50*0.05+AE51*0.15+AE52*0.05+AE53*0.1+AE54*0.25)-(AE183+AE184)-(AE185*1.2))</f>
        <v>8.2912829542172251</v>
      </c>
      <c r="AF287" s="15">
        <f t="shared" si="153"/>
        <v>8.127060621521272</v>
      </c>
      <c r="AG287" s="15">
        <f t="shared" si="153"/>
        <v>8.127060621521272</v>
      </c>
      <c r="AH287" s="15">
        <f t="shared" si="153"/>
        <v>8.127060621521272</v>
      </c>
      <c r="AI287" s="15">
        <f t="shared" si="153"/>
        <v>8.127060621521272</v>
      </c>
      <c r="AJ287" s="15">
        <f t="shared" si="153"/>
        <v>8.127060621521272</v>
      </c>
      <c r="AK287" s="15">
        <f t="shared" si="153"/>
        <v>8.127060621521272</v>
      </c>
      <c r="AL287" s="15">
        <f t="shared" si="153"/>
        <v>8.127060621521272</v>
      </c>
      <c r="AM287" s="15">
        <f t="shared" si="153"/>
        <v>8.127060621521272</v>
      </c>
      <c r="AN287" s="15">
        <f t="shared" si="153"/>
        <v>8.127060621521272</v>
      </c>
      <c r="AO287" s="15">
        <f t="shared" si="153"/>
        <v>8.127060621521272</v>
      </c>
      <c r="AP287" s="15">
        <f t="shared" si="153"/>
        <v>8.127060621521272</v>
      </c>
      <c r="AQ287" s="15">
        <f t="shared" si="153"/>
        <v>8.127060621521272</v>
      </c>
      <c r="AR287" s="15">
        <f t="shared" si="153"/>
        <v>8.127060621521272</v>
      </c>
      <c r="AS287" s="15">
        <f t="shared" si="153"/>
        <v>8.127060621521272</v>
      </c>
      <c r="AT287" s="15">
        <f t="shared" si="153"/>
        <v>8.127060621521272</v>
      </c>
      <c r="AU287" s="15">
        <f t="shared" si="153"/>
        <v>8.127060621521272</v>
      </c>
      <c r="AV287" s="15">
        <f t="shared" si="153"/>
        <v>8.127060621521272</v>
      </c>
      <c r="AW287" s="15">
        <f t="shared" si="153"/>
        <v>8.1520989940128139</v>
      </c>
      <c r="AX287" s="15">
        <f t="shared" si="153"/>
        <v>8.1020222490297282</v>
      </c>
      <c r="AY287" s="15">
        <f t="shared" si="153"/>
        <v>8.127060621521272</v>
      </c>
      <c r="AZ287" s="15">
        <f t="shared" si="153"/>
        <v>8.127060621521272</v>
      </c>
      <c r="BA287" s="15">
        <f t="shared" si="153"/>
        <v>8.127060621521272</v>
      </c>
      <c r="BB287" s="15">
        <f t="shared" si="153"/>
        <v>8.127060621521272</v>
      </c>
      <c r="BC287" s="15">
        <f t="shared" si="153"/>
        <v>8.127060621521272</v>
      </c>
      <c r="BD287" s="15">
        <f t="shared" si="153"/>
        <v>8.127060621521272</v>
      </c>
      <c r="BE287" s="15">
        <f t="shared" si="153"/>
        <v>8.127060621521272</v>
      </c>
      <c r="BF287" s="15">
        <f>(BF168+(BF25+BF26+BF27)+(BF30*0.85)+(BF31*0.95)+(BF32*0.9)+(BF33*0.98)+BF180)/((BF50*0.05+BF51*0.15+BF52*0.05+BF53*0.1+BF54*0.02)-(BF183+BF184)-(BF185*1.2))</f>
        <v>8.7753866258986104</v>
      </c>
      <c r="BG287" s="54">
        <v>8.7799999999999994</v>
      </c>
    </row>
    <row r="288" spans="1:59" x14ac:dyDescent="0.25">
      <c r="A288" s="18" t="s">
        <v>6</v>
      </c>
      <c r="AC288" s="52">
        <v>4.68</v>
      </c>
      <c r="AD288" s="15">
        <f>(AD168+SUM(AD25:AD29)+(AD30*0.75)+(AD31*0.95)+(AD32*0.85)+(AD33*0.95)+AD181)/((AD50*0.1+AD51*0.25+AD52*0.05+AD53*0.15+AD54*0.05)-(AD183+AD184)-((AD185+AD186)*1.2))</f>
        <v>4.6800564895833405</v>
      </c>
      <c r="AE288" s="15">
        <f t="shared" ref="AE288:BE288" si="154">(AE168+SUM(AE25:AE29)+(AE30*0.75)+(AE31*0.95)+(AE32*0.85)+(AE33*0.95)+AE181)/((AE50*0.1+AE51*0.25+AE52*0.05+AE53*0.15+AE54*0.05)-(AE183+AE184)-((AE185+AE186)*1.2))</f>
        <v>4.6800564895833405</v>
      </c>
      <c r="AF288" s="15">
        <f t="shared" si="154"/>
        <v>4.7244591921039971</v>
      </c>
      <c r="AG288" s="15">
        <f t="shared" si="154"/>
        <v>4.7244591921039971</v>
      </c>
      <c r="AH288" s="15">
        <f t="shared" si="154"/>
        <v>4.7244591921039971</v>
      </c>
      <c r="AI288" s="15">
        <f t="shared" si="154"/>
        <v>4.7244591921039971</v>
      </c>
      <c r="AJ288" s="15">
        <f t="shared" si="154"/>
        <v>4.7244591921039971</v>
      </c>
      <c r="AK288" s="15">
        <f t="shared" si="154"/>
        <v>4.7244591921039971</v>
      </c>
      <c r="AL288" s="15">
        <f t="shared" si="154"/>
        <v>4.7244591921039971</v>
      </c>
      <c r="AM288" s="15">
        <f t="shared" si="154"/>
        <v>4.7244591921039971</v>
      </c>
      <c r="AN288" s="15">
        <f t="shared" si="154"/>
        <v>4.7244591921039971</v>
      </c>
      <c r="AO288" s="15">
        <f t="shared" si="154"/>
        <v>4.7244591921039971</v>
      </c>
      <c r="AP288" s="15">
        <f t="shared" si="154"/>
        <v>4.7244591921039971</v>
      </c>
      <c r="AQ288" s="15">
        <f t="shared" si="154"/>
        <v>4.7244591921039971</v>
      </c>
      <c r="AR288" s="15">
        <f t="shared" si="154"/>
        <v>4.7244591921039971</v>
      </c>
      <c r="AS288" s="15">
        <f t="shared" si="154"/>
        <v>4.7244591921039971</v>
      </c>
      <c r="AT288" s="15">
        <f t="shared" si="154"/>
        <v>4.7244591921039971</v>
      </c>
      <c r="AU288" s="15">
        <f t="shared" si="154"/>
        <v>4.7244591921039971</v>
      </c>
      <c r="AV288" s="15">
        <f t="shared" si="154"/>
        <v>4.7244591921039971</v>
      </c>
      <c r="AW288" s="15">
        <f t="shared" si="154"/>
        <v>4.7244591921039971</v>
      </c>
      <c r="AX288" s="15">
        <f t="shared" si="154"/>
        <v>4.7244591921039971</v>
      </c>
      <c r="AY288" s="15">
        <f t="shared" si="154"/>
        <v>4.7244591921039971</v>
      </c>
      <c r="AZ288" s="15">
        <f t="shared" si="154"/>
        <v>4.7244591921039971</v>
      </c>
      <c r="BA288" s="15">
        <f t="shared" si="154"/>
        <v>4.7244591921039971</v>
      </c>
      <c r="BB288" s="15">
        <f t="shared" si="154"/>
        <v>4.7244591921039971</v>
      </c>
      <c r="BC288" s="15">
        <f t="shared" si="154"/>
        <v>4.7244591921039971</v>
      </c>
      <c r="BD288" s="15">
        <f t="shared" si="154"/>
        <v>4.7244591921039971</v>
      </c>
      <c r="BE288" s="15">
        <f t="shared" si="154"/>
        <v>4.7244591921039971</v>
      </c>
      <c r="BF288" s="15">
        <f>(BF168+SUM(BF25:BF29)+(BF30*0.75)+(BF31*0.95)+(BF32*0.85)+(BF33*0.62)+BF181)/((BF50*0.1+BF51*0.25+BF52*0.05+BF53*0.15+BF54*0.38)-(BF183+BF184)-((BF185+BF186)*1.2))</f>
        <v>4.4589957686869743</v>
      </c>
      <c r="BG288" s="54">
        <v>4.46</v>
      </c>
    </row>
    <row r="289" spans="1:59" x14ac:dyDescent="0.25">
      <c r="A289" s="18" t="s">
        <v>7</v>
      </c>
      <c r="AC289" s="52">
        <v>2.84</v>
      </c>
      <c r="AD289" s="15">
        <f>(AD168+SUM(AD25:AD29)+(AD30*0.6)+(AD31*0.9)+(AD32*0.75)+(AD33*0.5)+(AD36*0.6*0.96)+(AD37*0.6*0.96)+(AD38*0.9*0.97)+(AD39*0.75*0.97)+(AD40*0.5*0.92)+AD182)/((AD50*0.2)+(AD51*0.4)+(AD52*0.1)+(AD53*0.25)+(AD54*0.5)-(AD183+AD184)-(AD185+AD186+AD187)*1.2)</f>
        <v>2.8398752313429831</v>
      </c>
      <c r="AE289" s="15">
        <f t="shared" ref="AE289:BE289" si="155">(AE168+SUM(AE25:AE29)+(AE30*0.6)+(AE31*0.9)+(AE32*0.75)+(AE33*0.5)+(AE36*0.6*0.96)+(AE37*0.6*0.96)+(AE38*0.9*0.97)+(AE39*0.75*0.97)+(AE40*0.5*0.92)+AE182)/((AE50*0.2)+(AE51*0.4)+(AE52*0.1)+(AE53*0.25)+(AE54*0.5)-(AE183+AE184)-(AE185+AE186+AE187)*1.2)</f>
        <v>2.8437457183278188</v>
      </c>
      <c r="AF289" s="15">
        <f t="shared" si="155"/>
        <v>2.7012935844150752</v>
      </c>
      <c r="AG289" s="15">
        <f t="shared" si="155"/>
        <v>2.7043740105849658</v>
      </c>
      <c r="AH289" s="15">
        <f t="shared" si="155"/>
        <v>2.6982131582451845</v>
      </c>
      <c r="AI289" s="15">
        <f t="shared" si="155"/>
        <v>2.6927161265570265</v>
      </c>
      <c r="AJ289" s="15">
        <f t="shared" si="155"/>
        <v>2.6954292137708222</v>
      </c>
      <c r="AK289" s="15">
        <f t="shared" si="155"/>
        <v>2.6900030393432304</v>
      </c>
      <c r="AL289" s="15">
        <f t="shared" si="155"/>
        <v>2.7012935844150752</v>
      </c>
      <c r="AM289" s="15">
        <f t="shared" si="155"/>
        <v>2.703456595527105</v>
      </c>
      <c r="AN289" s="15">
        <f t="shared" si="155"/>
        <v>2.6991305733030457</v>
      </c>
      <c r="AO289" s="15">
        <f t="shared" si="155"/>
        <v>2.7012935844150752</v>
      </c>
      <c r="AP289" s="15">
        <f t="shared" si="155"/>
        <v>2.7068316387277718</v>
      </c>
      <c r="AQ289" s="15">
        <f t="shared" si="155"/>
        <v>2.6957555301023786</v>
      </c>
      <c r="AR289" s="15">
        <f t="shared" si="155"/>
        <v>2.6841386686989774</v>
      </c>
      <c r="AS289" s="15">
        <f t="shared" si="155"/>
        <v>2.682443688439637</v>
      </c>
      <c r="AT289" s="15">
        <f t="shared" si="155"/>
        <v>2.6858336489583183</v>
      </c>
      <c r="AU289" s="15">
        <f t="shared" si="155"/>
        <v>2.6705732326299985</v>
      </c>
      <c r="AV289" s="15">
        <f t="shared" si="155"/>
        <v>2.6705732326299985</v>
      </c>
      <c r="AW289" s="15">
        <f t="shared" si="155"/>
        <v>2.6705732326299985</v>
      </c>
      <c r="AX289" s="15">
        <f t="shared" si="155"/>
        <v>2.6705732326299985</v>
      </c>
      <c r="AY289" s="15">
        <f t="shared" si="155"/>
        <v>2.681313701600077</v>
      </c>
      <c r="AZ289" s="15">
        <f t="shared" si="155"/>
        <v>2.6598327636599199</v>
      </c>
      <c r="BA289" s="15">
        <f t="shared" si="155"/>
        <v>2.674004215773218</v>
      </c>
      <c r="BB289" s="15">
        <f t="shared" si="155"/>
        <v>2.6757197073448276</v>
      </c>
      <c r="BC289" s="15">
        <f t="shared" si="155"/>
        <v>2.672288724201608</v>
      </c>
      <c r="BD289" s="15">
        <f t="shared" si="155"/>
        <v>2.6727926409450138</v>
      </c>
      <c r="BE289" s="15">
        <f t="shared" si="155"/>
        <v>2.7053496875105645</v>
      </c>
      <c r="BF289" s="15">
        <f>(BF168+SUM(BF25:BF29)+(BF30*0.6)+(BF31*0.9)+(BF32*0.75)+(BF33*0.8)+(BF36*0.6*0.96)+(BF37*0.6*0.96)+(BF38*0.9*0.97)+(BF39*0.75*0.97)+(BF40*0.8*0.92)+BF182)/((BF50*0.2)+(BF51*0.4)+(BF52*0.1)+(BF53*0.25)+(BF54*0.2)-(BF183+BF184)-(BF185+BF186+BF187)*1.2)</f>
        <v>2.7004335125005388</v>
      </c>
      <c r="BG289" s="54">
        <v>2.7</v>
      </c>
    </row>
    <row r="290" spans="1:59" x14ac:dyDescent="0.25">
      <c r="A290" s="17" t="s">
        <v>222</v>
      </c>
      <c r="AC290" s="52" t="s">
        <v>231</v>
      </c>
      <c r="AD290" s="53" t="s">
        <v>230</v>
      </c>
      <c r="AE290" t="s">
        <v>231</v>
      </c>
      <c r="BF290" s="53" t="s">
        <v>237</v>
      </c>
      <c r="BG290" s="54" t="s">
        <v>231</v>
      </c>
    </row>
    <row r="291" spans="1:59" x14ac:dyDescent="0.25">
      <c r="A291" s="18" t="s">
        <v>3</v>
      </c>
      <c r="AC291" s="52">
        <v>3.85</v>
      </c>
      <c r="AD291" s="15">
        <f>(AD168+AD178)/((AD51*0.15+AD50*0.01+AD52*0.05+AD53*0.1+AD54*0.15)-AD183)</f>
        <v>3.8487579521475226</v>
      </c>
      <c r="AE291" s="15">
        <f t="shared" ref="AE291:BE291" si="156">(AE168+AE178)/((AE51*0.15+AE50*0.01+AE52*0.05+AE53*0.1+AE54*0.15)-AE183)</f>
        <v>3.8487579521475226</v>
      </c>
      <c r="AF291" s="15">
        <f t="shared" si="156"/>
        <v>3.4806211452506997</v>
      </c>
      <c r="AG291" s="15">
        <f t="shared" si="156"/>
        <v>3.4806211452506997</v>
      </c>
      <c r="AH291" s="15">
        <f t="shared" si="156"/>
        <v>3.4806211452506997</v>
      </c>
      <c r="AI291" s="15">
        <f t="shared" si="156"/>
        <v>3.4806211452506997</v>
      </c>
      <c r="AJ291" s="15">
        <f t="shared" si="156"/>
        <v>3.4806211452506997</v>
      </c>
      <c r="AK291" s="15">
        <f t="shared" si="156"/>
        <v>3.4806211452506997</v>
      </c>
      <c r="AL291" s="15">
        <f t="shared" si="156"/>
        <v>3.4806211452506997</v>
      </c>
      <c r="AM291" s="15">
        <f t="shared" si="156"/>
        <v>3.4806211452506997</v>
      </c>
      <c r="AN291" s="15">
        <f t="shared" si="156"/>
        <v>3.4806211452506997</v>
      </c>
      <c r="AO291" s="15">
        <f t="shared" si="156"/>
        <v>3.4806211452506997</v>
      </c>
      <c r="AP291" s="15">
        <f t="shared" si="156"/>
        <v>3.4806211452506997</v>
      </c>
      <c r="AQ291" s="15">
        <f t="shared" si="156"/>
        <v>3.4806211452506997</v>
      </c>
      <c r="AR291" s="15">
        <f t="shared" si="156"/>
        <v>3.4806211452506997</v>
      </c>
      <c r="AS291" s="15">
        <f t="shared" si="156"/>
        <v>3.4806211452506997</v>
      </c>
      <c r="AT291" s="15">
        <f t="shared" si="156"/>
        <v>3.4806211452506997</v>
      </c>
      <c r="AU291" s="15">
        <f t="shared" si="156"/>
        <v>3.5363657383224956</v>
      </c>
      <c r="AV291" s="15">
        <f t="shared" si="156"/>
        <v>3.4248765521789033</v>
      </c>
      <c r="AW291" s="15">
        <f t="shared" si="156"/>
        <v>3.5224295900545464</v>
      </c>
      <c r="AX291" s="15">
        <f t="shared" si="156"/>
        <v>3.4388127004468525</v>
      </c>
      <c r="AY291" s="15">
        <f t="shared" si="156"/>
        <v>3.4806211452506997</v>
      </c>
      <c r="AZ291" s="15">
        <f t="shared" si="156"/>
        <v>3.4806211452506997</v>
      </c>
      <c r="BA291" s="15">
        <f t="shared" si="156"/>
        <v>3.4806211452506997</v>
      </c>
      <c r="BB291" s="15">
        <f t="shared" si="156"/>
        <v>3.4806211452506997</v>
      </c>
      <c r="BC291" s="15">
        <f t="shared" si="156"/>
        <v>3.4806211452506997</v>
      </c>
      <c r="BD291" s="15">
        <f t="shared" si="156"/>
        <v>3.4806211452506997</v>
      </c>
      <c r="BE291" s="15">
        <f t="shared" si="156"/>
        <v>3.4806211452506997</v>
      </c>
      <c r="BF291" s="15">
        <f>(BF168+BF178)/((BF51*0.15+BF50*0.01+BF52*0.05+BF53*0.1+BF54*0.15)-BF183)</f>
        <v>3.4806211452506997</v>
      </c>
      <c r="BG291" s="54">
        <v>3.48</v>
      </c>
    </row>
    <row r="292" spans="1:59" x14ac:dyDescent="0.25">
      <c r="A292" s="18" t="s">
        <v>4</v>
      </c>
      <c r="AC292" s="52">
        <v>2.19</v>
      </c>
      <c r="AD292" s="15">
        <f>(AD168+AD179)/((AD50*0.1+AD51*0.15+AD52*0.05+AD53*0.1+AD54*0.15)-(AD184+AD183))</f>
        <v>2.1858669687042935</v>
      </c>
      <c r="AE292" s="15">
        <f t="shared" ref="AE292:BE292" si="157">(AE168+AE179)/((AE50*0.1+AE51*0.15+AE52*0.05+AE53*0.1+AE54*0.15)-(AE184+AE183))</f>
        <v>2.1858669687042935</v>
      </c>
      <c r="AF292" s="15">
        <f t="shared" si="157"/>
        <v>2.3136690567564977</v>
      </c>
      <c r="AG292" s="15">
        <f t="shared" si="157"/>
        <v>2.3136690567564977</v>
      </c>
      <c r="AH292" s="15">
        <f t="shared" si="157"/>
        <v>2.3136690567564977</v>
      </c>
      <c r="AI292" s="15">
        <f t="shared" si="157"/>
        <v>2.3136690567564977</v>
      </c>
      <c r="AJ292" s="15">
        <f t="shared" si="157"/>
        <v>2.3136690567564977</v>
      </c>
      <c r="AK292" s="15">
        <f t="shared" si="157"/>
        <v>2.3136690567564977</v>
      </c>
      <c r="AL292" s="15">
        <f t="shared" si="157"/>
        <v>2.3136690567564977</v>
      </c>
      <c r="AM292" s="15">
        <f t="shared" si="157"/>
        <v>2.3136690567564977</v>
      </c>
      <c r="AN292" s="15">
        <f t="shared" si="157"/>
        <v>2.3136690567564977</v>
      </c>
      <c r="AO292" s="15">
        <f t="shared" si="157"/>
        <v>2.3136690567564977</v>
      </c>
      <c r="AP292" s="15">
        <f t="shared" si="157"/>
        <v>2.3136690567564977</v>
      </c>
      <c r="AQ292" s="15">
        <f t="shared" si="157"/>
        <v>2.3136690567564977</v>
      </c>
      <c r="AR292" s="15">
        <f t="shared" si="157"/>
        <v>2.3136690567564977</v>
      </c>
      <c r="AS292" s="15">
        <f t="shared" si="157"/>
        <v>2.3136690567564977</v>
      </c>
      <c r="AT292" s="15">
        <f t="shared" si="157"/>
        <v>2.3136690567564977</v>
      </c>
      <c r="AU292" s="15">
        <f t="shared" si="157"/>
        <v>2.3495340017460395</v>
      </c>
      <c r="AV292" s="15">
        <f t="shared" si="157"/>
        <v>2.2778041117669559</v>
      </c>
      <c r="AW292" s="15">
        <f t="shared" si="157"/>
        <v>2.3405677654986539</v>
      </c>
      <c r="AX292" s="15">
        <f t="shared" si="157"/>
        <v>2.2867703480143411</v>
      </c>
      <c r="AY292" s="15">
        <f t="shared" si="157"/>
        <v>2.3136690567564977</v>
      </c>
      <c r="AZ292" s="15">
        <f t="shared" si="157"/>
        <v>2.3136690567564977</v>
      </c>
      <c r="BA292" s="15">
        <f t="shared" si="157"/>
        <v>2.3136690567564977</v>
      </c>
      <c r="BB292" s="15">
        <f t="shared" si="157"/>
        <v>2.3136690567564977</v>
      </c>
      <c r="BC292" s="15">
        <f t="shared" si="157"/>
        <v>2.3136690567564977</v>
      </c>
      <c r="BD292" s="15">
        <f t="shared" si="157"/>
        <v>2.3136690567564977</v>
      </c>
      <c r="BE292" s="15">
        <f t="shared" si="157"/>
        <v>2.3136690567564977</v>
      </c>
      <c r="BF292" s="15">
        <f>(BF168+BF179)/((BF50*0.09+BF51*0.15+BF52*0.05+BF53*0.1+BF54*0.15)-(BF184+BF183))</f>
        <v>2.3945680333389499</v>
      </c>
      <c r="BG292" s="54">
        <v>2.39</v>
      </c>
    </row>
    <row r="293" spans="1:59" x14ac:dyDescent="0.25">
      <c r="A293" s="18" t="s">
        <v>5</v>
      </c>
      <c r="AC293" s="52">
        <v>8.94</v>
      </c>
      <c r="AD293" s="15">
        <f>(AD168+(AD25+AD26+AD27)+(AD30*0.85)+(AD31*0.95)+(AD32*0.9)+(AD33*0.85)+AD180)/((AD50*0.04+AD51*0.15+AD52*0.05+AD53*0.1+AD54*0.15)-(AD183+AD184)-(AD185*1.2))</f>
        <v>8.9440626479000009</v>
      </c>
      <c r="AE293" s="15">
        <f t="shared" ref="AE293:BE293" si="158">(AE168+(AE25+AE26+AE27)+(AE30*0.85)+(AE31*0.95)+(AE32*0.9)+(AE33*0.85)+AE180)/((AE50*0.04+AE51*0.15+AE52*0.05+AE53*0.1+AE54*0.15)-(AE183+AE184)-(AE185*1.2))</f>
        <v>8.9440626479000009</v>
      </c>
      <c r="AF293" s="15">
        <f t="shared" si="158"/>
        <v>8.6787661257505739</v>
      </c>
      <c r="AG293" s="15">
        <f t="shared" si="158"/>
        <v>8.6787661257505739</v>
      </c>
      <c r="AH293" s="15">
        <f t="shared" si="158"/>
        <v>8.6787661257505739</v>
      </c>
      <c r="AI293" s="15">
        <f t="shared" si="158"/>
        <v>8.6787661257505739</v>
      </c>
      <c r="AJ293" s="15">
        <f t="shared" si="158"/>
        <v>8.6787661257505739</v>
      </c>
      <c r="AK293" s="15">
        <f t="shared" si="158"/>
        <v>8.6787661257505739</v>
      </c>
      <c r="AL293" s="15">
        <f t="shared" si="158"/>
        <v>8.6787661257505739</v>
      </c>
      <c r="AM293" s="15">
        <f t="shared" si="158"/>
        <v>8.6787661257505739</v>
      </c>
      <c r="AN293" s="15">
        <f t="shared" si="158"/>
        <v>8.6787661257505739</v>
      </c>
      <c r="AO293" s="15">
        <f t="shared" si="158"/>
        <v>8.6787661257505739</v>
      </c>
      <c r="AP293" s="15">
        <f t="shared" si="158"/>
        <v>8.6787661257505739</v>
      </c>
      <c r="AQ293" s="15">
        <f t="shared" si="158"/>
        <v>8.6787661257505739</v>
      </c>
      <c r="AR293" s="15">
        <f t="shared" si="158"/>
        <v>8.6787661257505739</v>
      </c>
      <c r="AS293" s="15">
        <f t="shared" si="158"/>
        <v>8.6787661257505739</v>
      </c>
      <c r="AT293" s="15">
        <f t="shared" si="158"/>
        <v>8.6787661257505739</v>
      </c>
      <c r="AU293" s="15">
        <f t="shared" si="158"/>
        <v>8.6787661257505739</v>
      </c>
      <c r="AV293" s="15">
        <f t="shared" si="158"/>
        <v>8.6787661257505739</v>
      </c>
      <c r="AW293" s="15">
        <f t="shared" si="158"/>
        <v>8.7055042281400254</v>
      </c>
      <c r="AX293" s="15">
        <f t="shared" si="158"/>
        <v>8.6520280233611206</v>
      </c>
      <c r="AY293" s="15">
        <f t="shared" si="158"/>
        <v>8.6787661257505739</v>
      </c>
      <c r="AZ293" s="15">
        <f t="shared" si="158"/>
        <v>8.6787661257505739</v>
      </c>
      <c r="BA293" s="15">
        <f t="shared" si="158"/>
        <v>8.6787661257505739</v>
      </c>
      <c r="BB293" s="15">
        <f t="shared" si="158"/>
        <v>8.6787661257505739</v>
      </c>
      <c r="BC293" s="15">
        <f t="shared" si="158"/>
        <v>8.6787661257505739</v>
      </c>
      <c r="BD293" s="15">
        <f t="shared" si="158"/>
        <v>8.6787661257505739</v>
      </c>
      <c r="BE293" s="15">
        <f t="shared" si="158"/>
        <v>8.6787661257505739</v>
      </c>
      <c r="BF293" s="15">
        <f>(BF168+(BF25+BF26+BF27)+(BF30*0.85)+(BF31*0.95)+(BF32*0.9)+(BF33*0.85)+BF180)/((BF50*0.05+BF51*0.15+BF52*0.05+BF53*0.1+BF54*0.15)-(BF183+BF184)-(BF185*1.2))</f>
        <v>8.3967799808419024</v>
      </c>
      <c r="BG293" s="54">
        <v>8.4</v>
      </c>
    </row>
    <row r="294" spans="1:59" x14ac:dyDescent="0.25">
      <c r="A294" s="18" t="s">
        <v>6</v>
      </c>
      <c r="AC294" s="52">
        <v>3.55</v>
      </c>
      <c r="AD294" s="15">
        <f>(AD168+SUM(AD25:AD29)+(AD30*0.75)+(AD31*0.95)+(AD32*0.85)+(AD33*0.75)+AD181)/((AD50*0.25+AD51*0.25+AD52*0.05+AD53*0.15+AD54*0.25)-(AD183+AD184)-((AD185+AD186)*1.2))</f>
        <v>3.5499197543434771</v>
      </c>
      <c r="AE294" s="15">
        <f t="shared" ref="AE294:BE294" si="159">(AE168+SUM(AE25:AE29)+(AE30*0.75)+(AE31*0.95)+(AE32*0.85)+(AE33*0.75)+AE181)/((AE50*0.25+AE51*0.25+AE52*0.05+AE53*0.15+AE54*0.25)-(AE183+AE184)-((AE185+AE186)*1.2))</f>
        <v>3.5499197543434771</v>
      </c>
      <c r="AF294" s="15">
        <f t="shared" si="159"/>
        <v>3.6313656273661392</v>
      </c>
      <c r="AG294" s="15">
        <f t="shared" si="159"/>
        <v>3.6313656273661392</v>
      </c>
      <c r="AH294" s="15">
        <f t="shared" si="159"/>
        <v>3.6313656273661392</v>
      </c>
      <c r="AI294" s="15">
        <f t="shared" si="159"/>
        <v>3.6313656273661392</v>
      </c>
      <c r="AJ294" s="15">
        <f t="shared" si="159"/>
        <v>3.6313656273661392</v>
      </c>
      <c r="AK294" s="15">
        <f t="shared" si="159"/>
        <v>3.6313656273661392</v>
      </c>
      <c r="AL294" s="15">
        <f t="shared" si="159"/>
        <v>3.6313656273661392</v>
      </c>
      <c r="AM294" s="15">
        <f t="shared" si="159"/>
        <v>3.6313656273661392</v>
      </c>
      <c r="AN294" s="15">
        <f t="shared" si="159"/>
        <v>3.6313656273661392</v>
      </c>
      <c r="AO294" s="15">
        <f t="shared" si="159"/>
        <v>3.6313656273661392</v>
      </c>
      <c r="AP294" s="15">
        <f t="shared" si="159"/>
        <v>3.6313656273661392</v>
      </c>
      <c r="AQ294" s="15">
        <f t="shared" si="159"/>
        <v>3.6313656273661392</v>
      </c>
      <c r="AR294" s="15">
        <f t="shared" si="159"/>
        <v>3.6313656273661392</v>
      </c>
      <c r="AS294" s="15">
        <f t="shared" si="159"/>
        <v>3.6313656273661392</v>
      </c>
      <c r="AT294" s="15">
        <f t="shared" si="159"/>
        <v>3.6313656273661392</v>
      </c>
      <c r="AU294" s="15">
        <f t="shared" si="159"/>
        <v>3.6313656273661392</v>
      </c>
      <c r="AV294" s="15">
        <f t="shared" si="159"/>
        <v>3.6313656273661392</v>
      </c>
      <c r="AW294" s="15">
        <f t="shared" si="159"/>
        <v>3.6313656273661392</v>
      </c>
      <c r="AX294" s="15">
        <f t="shared" si="159"/>
        <v>3.6313656273661392</v>
      </c>
      <c r="AY294" s="15">
        <f t="shared" si="159"/>
        <v>3.6313656273661392</v>
      </c>
      <c r="AZ294" s="15">
        <f t="shared" si="159"/>
        <v>3.6313656273661392</v>
      </c>
      <c r="BA294" s="15">
        <f t="shared" si="159"/>
        <v>3.6313656273661392</v>
      </c>
      <c r="BB294" s="15">
        <f t="shared" si="159"/>
        <v>3.6313656273661392</v>
      </c>
      <c r="BC294" s="15">
        <f t="shared" si="159"/>
        <v>3.6313656273661392</v>
      </c>
      <c r="BD294" s="15">
        <f t="shared" si="159"/>
        <v>3.6313656273661392</v>
      </c>
      <c r="BE294" s="15">
        <f t="shared" si="159"/>
        <v>3.6313656273661392</v>
      </c>
      <c r="BF294" s="15">
        <f>(BF168+SUM(BF25:BF29)+(BF30*0.75)+(BF31*0.95)+(BF32*0.85)+(BF33*0.75)+BF181)/((BF50*0.4+BF51*0.25+BF52*0.05+BF53*0.15+BF54*0.25)-(BF183+BF184)-((BF185+BF186)*1.2))</f>
        <v>3.0169971893767777</v>
      </c>
      <c r="BG294" s="54">
        <v>3.02</v>
      </c>
    </row>
    <row r="295" spans="1:59" x14ac:dyDescent="0.25">
      <c r="A295" s="18" t="s">
        <v>7</v>
      </c>
      <c r="AC295" s="52">
        <v>3.16</v>
      </c>
      <c r="AD295" s="15">
        <f>(AD168+SUM(AD25:AD29)+(AD30*0.6)+(AD31*0.9)+(AD32*0.75)+(AD33*0.6)+(AD36*0.6*0.96)+(AD37*0.6*0.96)+(AD38*0.9*0.97)+(AD39*0.75*0.97)+(AD40*0.6*0.96)+AD182)/((AD50*0.08)+(AD51*0.4)+(AD52*0.1)+(AD53*0.25)+(AD54*0.4)-(AD183+AD184)-(AD185+AD186+AD187)*1.2)</f>
        <v>3.157501238469608</v>
      </c>
      <c r="AE295" s="15">
        <f t="shared" ref="AE295:BE295" si="160">(AE168+SUM(AE25:AE29)+(AE30*0.6)+(AE31*0.9)+(AE32*0.75)+(AE33*0.6)+(AE36*0.6*0.96)+(AE37*0.6*0.96)+(AE38*0.9*0.97)+(AE39*0.75*0.97)+(AE40*0.6*0.96)+AE182)/((AE50*0.08)+(AE51*0.4)+(AE52*0.1)+(AE53*0.25)+(AE54*0.4)-(AE183+AE184)-(AE185+AE186+AE187)*1.2)</f>
        <v>3.1618013965749832</v>
      </c>
      <c r="AF295" s="15">
        <f t="shared" si="160"/>
        <v>2.9780786946845477</v>
      </c>
      <c r="AG295" s="15">
        <f t="shared" si="160"/>
        <v>2.9805169918521432</v>
      </c>
      <c r="AH295" s="15">
        <f t="shared" si="160"/>
        <v>2.9756403975169521</v>
      </c>
      <c r="AI295" s="15">
        <f t="shared" si="160"/>
        <v>2.966256647811357</v>
      </c>
      <c r="AJ295" s="15">
        <f t="shared" si="160"/>
        <v>2.9692429461100533</v>
      </c>
      <c r="AK295" s="15">
        <f t="shared" si="160"/>
        <v>2.9632703495126602</v>
      </c>
      <c r="AL295" s="15">
        <f t="shared" si="160"/>
        <v>2.9780786946845477</v>
      </c>
      <c r="AM295" s="15">
        <f t="shared" si="160"/>
        <v>2.9780786946845477</v>
      </c>
      <c r="AN295" s="15">
        <f t="shared" si="160"/>
        <v>2.9780786946845477</v>
      </c>
      <c r="AO295" s="15">
        <f t="shared" si="160"/>
        <v>2.9780786946845477</v>
      </c>
      <c r="AP295" s="15">
        <f t="shared" si="160"/>
        <v>2.9841744376035364</v>
      </c>
      <c r="AQ295" s="15">
        <f t="shared" si="160"/>
        <v>2.9719829517655585</v>
      </c>
      <c r="AR295" s="15">
        <f t="shared" si="160"/>
        <v>2.9544346009381663</v>
      </c>
      <c r="AS295" s="15">
        <f t="shared" si="160"/>
        <v>2.9525689341659911</v>
      </c>
      <c r="AT295" s="15">
        <f t="shared" si="160"/>
        <v>2.9563002677103416</v>
      </c>
      <c r="AU295" s="15">
        <f t="shared" si="160"/>
        <v>2.9395031094446833</v>
      </c>
      <c r="AV295" s="15">
        <f t="shared" si="160"/>
        <v>2.9395031094446833</v>
      </c>
      <c r="AW295" s="15">
        <f t="shared" si="160"/>
        <v>2.9395031094446833</v>
      </c>
      <c r="AX295" s="15">
        <f t="shared" si="160"/>
        <v>2.9395031094446833</v>
      </c>
      <c r="AY295" s="15">
        <f t="shared" si="160"/>
        <v>2.951325156317874</v>
      </c>
      <c r="AZ295" s="15">
        <f t="shared" si="160"/>
        <v>2.9276810625714931</v>
      </c>
      <c r="BA295" s="15">
        <f t="shared" si="160"/>
        <v>2.9442319281939597</v>
      </c>
      <c r="BB295" s="15">
        <f t="shared" si="160"/>
        <v>2.946596337568598</v>
      </c>
      <c r="BC295" s="15">
        <f t="shared" si="160"/>
        <v>2.9418675188193215</v>
      </c>
      <c r="BD295" s="15">
        <f t="shared" si="160"/>
        <v>2.9428983463504381</v>
      </c>
      <c r="BE295" s="15">
        <f t="shared" si="160"/>
        <v>2.9787339259347969</v>
      </c>
      <c r="BF295" s="15">
        <f>(BF168+SUM(BF25:BF29)+(BF30*0.6)+(BF31*0.9)+(BF32*0.75)+(BF33*0.6)+(BF36*0.6*0.96)+(BF37*0.6*0.96)+(BF38*0.9*0.97)+(BF39*0.75*0.97)+(BF40*0.6*0.96)+BF182)/((BF50*0.11)+(BF51*0.4)+(BF52*0.1)+(BF53*0.25)+(BF54*0.4)-(BF183+BF184)-(BF185+BF186+BF187)*1.2)</f>
        <v>2.8411467754554764</v>
      </c>
      <c r="BG295" s="54">
        <v>2.84</v>
      </c>
    </row>
    <row r="296" spans="1:59" x14ac:dyDescent="0.25">
      <c r="AC296" s="60"/>
      <c r="BG296" s="54"/>
    </row>
    <row r="297" spans="1:59" x14ac:dyDescent="0.25">
      <c r="A297" s="18" t="s">
        <v>238</v>
      </c>
      <c r="AC297" s="60"/>
      <c r="BG297" s="54"/>
    </row>
    <row r="298" spans="1:59" x14ac:dyDescent="0.25">
      <c r="A298" s="18" t="s">
        <v>3</v>
      </c>
      <c r="AC298" s="60"/>
      <c r="AD298" s="45" t="b">
        <f>IF(ABS(AD261-AC261)&lt;0.01, TRUE)</f>
        <v>1</v>
      </c>
      <c r="AE298" s="45" t="b">
        <f t="shared" ref="AE298:BE298" si="161">IF(ABS(AE261-AD261)&lt;0.01, TRUE)</f>
        <v>1</v>
      </c>
      <c r="AF298" s="45" t="b">
        <f t="shared" si="161"/>
        <v>0</v>
      </c>
      <c r="AG298" s="45" t="b">
        <f t="shared" si="161"/>
        <v>1</v>
      </c>
      <c r="AH298" s="45" t="b">
        <f t="shared" si="161"/>
        <v>1</v>
      </c>
      <c r="AI298" s="45" t="b">
        <f t="shared" si="161"/>
        <v>1</v>
      </c>
      <c r="AJ298" s="45" t="b">
        <f t="shared" si="161"/>
        <v>1</v>
      </c>
      <c r="AK298" s="45" t="b">
        <f t="shared" si="161"/>
        <v>1</v>
      </c>
      <c r="AL298" s="45" t="b">
        <f t="shared" si="161"/>
        <v>1</v>
      </c>
      <c r="AM298" s="45" t="b">
        <f t="shared" si="161"/>
        <v>1</v>
      </c>
      <c r="AN298" s="45" t="b">
        <f t="shared" si="161"/>
        <v>1</v>
      </c>
      <c r="AO298" s="45" t="b">
        <f t="shared" si="161"/>
        <v>1</v>
      </c>
      <c r="AP298" s="45" t="b">
        <f t="shared" si="161"/>
        <v>1</v>
      </c>
      <c r="AQ298" s="45" t="b">
        <f t="shared" si="161"/>
        <v>1</v>
      </c>
      <c r="AR298" s="45" t="b">
        <f t="shared" si="161"/>
        <v>1</v>
      </c>
      <c r="AS298" s="45" t="b">
        <f t="shared" si="161"/>
        <v>1</v>
      </c>
      <c r="AT298" s="45" t="b">
        <f t="shared" si="161"/>
        <v>1</v>
      </c>
      <c r="AU298" s="45" t="b">
        <f t="shared" si="161"/>
        <v>0</v>
      </c>
      <c r="AV298" s="45" t="b">
        <f t="shared" si="161"/>
        <v>0</v>
      </c>
      <c r="AW298" s="45" t="b">
        <f t="shared" si="161"/>
        <v>0</v>
      </c>
      <c r="AX298" s="45" t="b">
        <f t="shared" si="161"/>
        <v>0</v>
      </c>
      <c r="AY298" s="45" t="b">
        <f t="shared" si="161"/>
        <v>0</v>
      </c>
      <c r="AZ298" s="45" t="b">
        <f t="shared" si="161"/>
        <v>1</v>
      </c>
      <c r="BA298" s="45" t="b">
        <f t="shared" si="161"/>
        <v>1</v>
      </c>
      <c r="BB298" s="45" t="b">
        <f t="shared" si="161"/>
        <v>1</v>
      </c>
      <c r="BC298" s="45" t="b">
        <f t="shared" si="161"/>
        <v>1</v>
      </c>
      <c r="BD298" s="45" t="b">
        <f t="shared" si="161"/>
        <v>1</v>
      </c>
      <c r="BE298" s="45" t="b">
        <f t="shared" si="161"/>
        <v>1</v>
      </c>
      <c r="BF298" s="45" t="b">
        <f>IF(ABS(BF261-BG261)&lt;0.01, TRUE)</f>
        <v>1</v>
      </c>
      <c r="BG298" s="54"/>
    </row>
    <row r="299" spans="1:59" x14ac:dyDescent="0.25">
      <c r="A299" s="18" t="s">
        <v>4</v>
      </c>
      <c r="AC299" s="60"/>
      <c r="AD299" s="45" t="b">
        <f t="shared" ref="AD299:AD302" si="162">IF(ABS(AD262-AC262)&lt;0.01, TRUE)</f>
        <v>1</v>
      </c>
      <c r="BF299" s="45" t="b">
        <f t="shared" ref="BF299:BF302" si="163">IF(ABS(BF262-BG262)&lt;0.01, TRUE)</f>
        <v>1</v>
      </c>
      <c r="BG299" s="54"/>
    </row>
    <row r="300" spans="1:59" x14ac:dyDescent="0.25">
      <c r="A300" s="18" t="s">
        <v>5</v>
      </c>
      <c r="AC300" s="60"/>
      <c r="AD300" s="45" t="b">
        <f t="shared" si="162"/>
        <v>1</v>
      </c>
      <c r="BF300" s="45" t="b">
        <f t="shared" si="163"/>
        <v>1</v>
      </c>
      <c r="BG300" s="54"/>
    </row>
    <row r="301" spans="1:59" x14ac:dyDescent="0.25">
      <c r="A301" s="18" t="s">
        <v>6</v>
      </c>
      <c r="AC301" s="60"/>
      <c r="AD301" s="45" t="b">
        <f t="shared" si="162"/>
        <v>1</v>
      </c>
      <c r="BF301" s="45" t="b">
        <f t="shared" si="163"/>
        <v>1</v>
      </c>
      <c r="BG301" s="54"/>
    </row>
    <row r="302" spans="1:59" x14ac:dyDescent="0.25">
      <c r="A302" s="18" t="s">
        <v>7</v>
      </c>
      <c r="AC302" s="60"/>
      <c r="AD302" s="45" t="b">
        <f t="shared" si="162"/>
        <v>1</v>
      </c>
      <c r="BF302" s="45" t="b">
        <f t="shared" si="163"/>
        <v>1</v>
      </c>
      <c r="BG302" s="54"/>
    </row>
    <row r="303" spans="1:59" x14ac:dyDescent="0.25">
      <c r="AC303" s="60"/>
      <c r="BG303" s="54"/>
    </row>
    <row r="304" spans="1:59" x14ac:dyDescent="0.25">
      <c r="A304" s="18" t="s">
        <v>3</v>
      </c>
      <c r="AC304" s="60"/>
      <c r="AD304" s="45" t="b">
        <f>IF(ABS(AD267-AC267)&lt;0.01, TRUE)</f>
        <v>1</v>
      </c>
      <c r="BF304" s="45" t="b">
        <f>IF(ABS(BF267-BG267)&lt;0.01, TRUE)</f>
        <v>1</v>
      </c>
      <c r="BG304" s="54"/>
    </row>
    <row r="305" spans="1:59" x14ac:dyDescent="0.25">
      <c r="A305" s="18" t="s">
        <v>4</v>
      </c>
      <c r="AC305" s="60"/>
      <c r="AD305" s="45" t="b">
        <f t="shared" ref="AD305:AD308" si="164">IF(ABS(AD268-AC268)&lt;0.01, TRUE)</f>
        <v>1</v>
      </c>
      <c r="BF305" s="45" t="b">
        <f t="shared" ref="BF305:BF308" si="165">IF(ABS(BF268-BG268)&lt;0.01, TRUE)</f>
        <v>1</v>
      </c>
      <c r="BG305" s="54"/>
    </row>
    <row r="306" spans="1:59" x14ac:dyDescent="0.25">
      <c r="A306" s="18" t="s">
        <v>5</v>
      </c>
      <c r="AC306" s="60"/>
      <c r="AD306" s="45" t="b">
        <f t="shared" si="164"/>
        <v>1</v>
      </c>
      <c r="BF306" s="45" t="b">
        <f t="shared" si="165"/>
        <v>1</v>
      </c>
      <c r="BG306" s="54"/>
    </row>
    <row r="307" spans="1:59" x14ac:dyDescent="0.25">
      <c r="A307" s="18" t="s">
        <v>6</v>
      </c>
      <c r="AC307" s="60"/>
      <c r="AD307" s="45" t="b">
        <f t="shared" si="164"/>
        <v>1</v>
      </c>
      <c r="BF307" s="45" t="b">
        <f t="shared" si="165"/>
        <v>1</v>
      </c>
      <c r="BG307" s="54"/>
    </row>
    <row r="308" spans="1:59" x14ac:dyDescent="0.25">
      <c r="A308" s="18" t="s">
        <v>7</v>
      </c>
      <c r="AC308" s="60"/>
      <c r="AD308" s="45" t="b">
        <f t="shared" si="164"/>
        <v>1</v>
      </c>
      <c r="BF308" s="45" t="b">
        <f t="shared" si="165"/>
        <v>1</v>
      </c>
      <c r="BG308" s="54"/>
    </row>
    <row r="309" spans="1:59" x14ac:dyDescent="0.25">
      <c r="AC309" s="60"/>
      <c r="BG309" s="54"/>
    </row>
    <row r="310" spans="1:59" x14ac:dyDescent="0.25">
      <c r="A310" s="18" t="s">
        <v>3</v>
      </c>
      <c r="AC310" s="60"/>
      <c r="AD310" s="45" t="b">
        <f>IF(ABS(AD273-AC273)&lt;0.01, TRUE)</f>
        <v>1</v>
      </c>
      <c r="BF310" s="45" t="b">
        <f>IF(ABS(BF273-BG273)&lt;0.01, TRUE)</f>
        <v>1</v>
      </c>
      <c r="BG310" s="54"/>
    </row>
    <row r="311" spans="1:59" x14ac:dyDescent="0.25">
      <c r="A311" s="18" t="s">
        <v>4</v>
      </c>
      <c r="AC311" s="60"/>
      <c r="AD311" s="45" t="b">
        <f t="shared" ref="AD311:AD314" si="166">IF(ABS(AD274-AC274)&lt;0.01, TRUE)</f>
        <v>1</v>
      </c>
      <c r="BF311" s="45" t="b">
        <f t="shared" ref="BF311:BF314" si="167">IF(ABS(BF274-BG274)&lt;0.01, TRUE)</f>
        <v>1</v>
      </c>
      <c r="BG311" s="54"/>
    </row>
    <row r="312" spans="1:59" x14ac:dyDescent="0.25">
      <c r="A312" s="18" t="s">
        <v>5</v>
      </c>
      <c r="AC312" s="60"/>
      <c r="AD312" s="45" t="b">
        <f t="shared" si="166"/>
        <v>1</v>
      </c>
      <c r="BF312" s="45" t="b">
        <f t="shared" si="167"/>
        <v>1</v>
      </c>
      <c r="BG312" s="54"/>
    </row>
    <row r="313" spans="1:59" x14ac:dyDescent="0.25">
      <c r="A313" s="18" t="s">
        <v>6</v>
      </c>
      <c r="AC313" s="60"/>
      <c r="AD313" s="45" t="b">
        <f t="shared" si="166"/>
        <v>1</v>
      </c>
      <c r="BF313" s="45" t="b">
        <f t="shared" si="167"/>
        <v>1</v>
      </c>
      <c r="BG313" s="54"/>
    </row>
    <row r="314" spans="1:59" x14ac:dyDescent="0.25">
      <c r="A314" s="18" t="s">
        <v>7</v>
      </c>
      <c r="AC314" s="60"/>
      <c r="AD314" s="45" t="b">
        <f t="shared" si="166"/>
        <v>1</v>
      </c>
      <c r="BF314" s="45" t="b">
        <f t="shared" si="167"/>
        <v>1</v>
      </c>
      <c r="BG314" s="54"/>
    </row>
    <row r="315" spans="1:59" x14ac:dyDescent="0.25">
      <c r="AC315" s="60"/>
      <c r="BG315" s="54"/>
    </row>
    <row r="316" spans="1:59" x14ac:dyDescent="0.25">
      <c r="A316" s="18" t="s">
        <v>3</v>
      </c>
      <c r="AC316" s="60"/>
      <c r="AD316" s="45" t="b">
        <f>IF(ABS(AD279-AC279)&lt;0.01, TRUE)</f>
        <v>1</v>
      </c>
      <c r="BF316" s="45" t="b">
        <f>IF(ABS(BF279-BG279)&lt;0.01, TRUE)</f>
        <v>1</v>
      </c>
      <c r="BG316" s="54"/>
    </row>
    <row r="317" spans="1:59" x14ac:dyDescent="0.25">
      <c r="A317" s="18" t="s">
        <v>4</v>
      </c>
      <c r="AC317" s="60"/>
      <c r="AD317" s="45" t="b">
        <f t="shared" ref="AD317:AD320" si="168">IF(ABS(AD280-AC280)&lt;0.01, TRUE)</f>
        <v>1</v>
      </c>
      <c r="BF317" s="45" t="b">
        <f t="shared" ref="BF317:BF320" si="169">IF(ABS(BF280-BG280)&lt;0.01, TRUE)</f>
        <v>1</v>
      </c>
      <c r="BG317" s="54"/>
    </row>
    <row r="318" spans="1:59" x14ac:dyDescent="0.25">
      <c r="A318" s="18" t="s">
        <v>5</v>
      </c>
      <c r="AC318" s="60"/>
      <c r="AD318" s="45" t="b">
        <f t="shared" si="168"/>
        <v>1</v>
      </c>
      <c r="BF318" s="45" t="b">
        <f t="shared" si="169"/>
        <v>1</v>
      </c>
      <c r="BG318" s="54"/>
    </row>
    <row r="319" spans="1:59" x14ac:dyDescent="0.25">
      <c r="A319" s="18" t="s">
        <v>6</v>
      </c>
      <c r="AC319" s="60"/>
      <c r="AD319" s="45" t="b">
        <f t="shared" si="168"/>
        <v>1</v>
      </c>
      <c r="BF319" s="45" t="b">
        <f t="shared" si="169"/>
        <v>1</v>
      </c>
      <c r="BG319" s="54"/>
    </row>
    <row r="320" spans="1:59" x14ac:dyDescent="0.25">
      <c r="A320" s="18" t="s">
        <v>7</v>
      </c>
      <c r="AC320" s="60"/>
      <c r="AD320" s="45" t="b">
        <f t="shared" si="168"/>
        <v>1</v>
      </c>
      <c r="BF320" s="45" t="b">
        <f t="shared" si="169"/>
        <v>1</v>
      </c>
      <c r="BG320" s="54"/>
    </row>
    <row r="321" spans="1:63" x14ac:dyDescent="0.25">
      <c r="AC321" s="60"/>
      <c r="BG321" s="54"/>
    </row>
    <row r="322" spans="1:63" x14ac:dyDescent="0.25">
      <c r="A322" s="18" t="s">
        <v>3</v>
      </c>
      <c r="AC322" s="60"/>
      <c r="AD322" s="45" t="b">
        <f>IF(ABS(AD285-AC285)&lt;0.01, TRUE)</f>
        <v>1</v>
      </c>
      <c r="BF322" s="45" t="b">
        <f>IF(ABS(BF285-BG285)&lt;0.01, TRUE)</f>
        <v>1</v>
      </c>
      <c r="BG322" s="54"/>
    </row>
    <row r="323" spans="1:63" x14ac:dyDescent="0.25">
      <c r="A323" s="18" t="s">
        <v>4</v>
      </c>
      <c r="AC323" s="60"/>
      <c r="AD323" s="45" t="b">
        <f t="shared" ref="AD323:AD326" si="170">IF(ABS(AD286-AC286)&lt;0.01, TRUE)</f>
        <v>1</v>
      </c>
      <c r="BF323" s="45" t="b">
        <f t="shared" ref="BF323:BF326" si="171">IF(ABS(BF286-BG286)&lt;0.01, TRUE)</f>
        <v>1</v>
      </c>
      <c r="BG323" s="54"/>
    </row>
    <row r="324" spans="1:63" x14ac:dyDescent="0.25">
      <c r="A324" s="18" t="s">
        <v>5</v>
      </c>
      <c r="AC324" s="60"/>
      <c r="AD324" s="45" t="b">
        <f t="shared" si="170"/>
        <v>1</v>
      </c>
      <c r="BF324" s="45" t="b">
        <f t="shared" si="171"/>
        <v>1</v>
      </c>
      <c r="BG324" s="54"/>
    </row>
    <row r="325" spans="1:63" x14ac:dyDescent="0.25">
      <c r="A325" s="18" t="s">
        <v>6</v>
      </c>
      <c r="AC325" s="60"/>
      <c r="AD325" s="45" t="b">
        <f t="shared" si="170"/>
        <v>1</v>
      </c>
      <c r="BF325" s="45" t="b">
        <f t="shared" si="171"/>
        <v>1</v>
      </c>
      <c r="BG325" s="54"/>
    </row>
    <row r="326" spans="1:63" x14ac:dyDescent="0.25">
      <c r="A326" s="18" t="s">
        <v>7</v>
      </c>
      <c r="AC326" s="60"/>
      <c r="AD326" s="45" t="b">
        <f t="shared" si="170"/>
        <v>1</v>
      </c>
      <c r="BF326" s="45" t="b">
        <f t="shared" si="171"/>
        <v>1</v>
      </c>
      <c r="BG326" s="54"/>
    </row>
    <row r="327" spans="1:63" x14ac:dyDescent="0.25">
      <c r="AC327" s="60"/>
      <c r="BG327" s="54"/>
    </row>
    <row r="328" spans="1:63" x14ac:dyDescent="0.25">
      <c r="A328" s="18" t="s">
        <v>3</v>
      </c>
      <c r="AC328" s="60"/>
      <c r="AD328" s="45" t="b">
        <f>IF(ABS(AD291-AC291)&lt;0.01, TRUE)</f>
        <v>1</v>
      </c>
      <c r="BF328" s="45" t="b">
        <f>IF(ABS(BF291-BG291)&lt;0.01, TRUE)</f>
        <v>1</v>
      </c>
      <c r="BG328" s="54"/>
    </row>
    <row r="329" spans="1:63" x14ac:dyDescent="0.25">
      <c r="A329" s="18" t="s">
        <v>4</v>
      </c>
      <c r="AC329" s="60"/>
      <c r="AD329" s="45" t="b">
        <f t="shared" ref="AD329:AD332" si="172">IF(ABS(AD292-AC292)&lt;0.01, TRUE)</f>
        <v>1</v>
      </c>
      <c r="BF329" s="45" t="b">
        <f t="shared" ref="BF329:BF332" si="173">IF(ABS(BF292-BG292)&lt;0.01, TRUE)</f>
        <v>1</v>
      </c>
      <c r="BG329" s="54"/>
    </row>
    <row r="330" spans="1:63" x14ac:dyDescent="0.25">
      <c r="A330" s="18" t="s">
        <v>5</v>
      </c>
      <c r="AC330" s="60"/>
      <c r="AD330" s="45" t="b">
        <f t="shared" si="172"/>
        <v>1</v>
      </c>
      <c r="BF330" s="45" t="b">
        <f t="shared" si="173"/>
        <v>1</v>
      </c>
      <c r="BG330" s="54"/>
    </row>
    <row r="331" spans="1:63" x14ac:dyDescent="0.25">
      <c r="A331" s="18" t="s">
        <v>6</v>
      </c>
      <c r="AC331" s="60"/>
      <c r="AD331" s="45" t="b">
        <f t="shared" si="172"/>
        <v>1</v>
      </c>
      <c r="BF331" s="45" t="b">
        <f t="shared" si="173"/>
        <v>1</v>
      </c>
      <c r="BG331" s="54"/>
    </row>
    <row r="332" spans="1:63" ht="15.75" thickBot="1" x14ac:dyDescent="0.3">
      <c r="A332" s="18" t="s">
        <v>7</v>
      </c>
      <c r="AC332" s="61"/>
      <c r="AD332" s="62" t="b">
        <f t="shared" si="172"/>
        <v>1</v>
      </c>
      <c r="AE332" s="63"/>
      <c r="AF332" s="63"/>
      <c r="AG332" s="63"/>
      <c r="AH332" s="63"/>
      <c r="AI332" s="63"/>
      <c r="AJ332" s="64"/>
      <c r="AK332" s="65"/>
      <c r="AL332" s="65"/>
      <c r="AM332" s="65"/>
      <c r="AN332" s="65"/>
      <c r="AO332" s="63"/>
      <c r="AP332" s="64"/>
      <c r="AQ332" s="63"/>
      <c r="AR332" s="63"/>
      <c r="AS332" s="63"/>
      <c r="AT332" s="63"/>
      <c r="AU332" s="63"/>
      <c r="AV332" s="64"/>
      <c r="AW332" s="63"/>
      <c r="AX332" s="63"/>
      <c r="AY332" s="63"/>
      <c r="AZ332" s="63"/>
      <c r="BA332" s="63"/>
      <c r="BB332" s="64"/>
      <c r="BC332" s="63"/>
      <c r="BD332" s="63"/>
      <c r="BE332" s="63"/>
      <c r="BF332" s="62" t="b">
        <f t="shared" si="173"/>
        <v>1</v>
      </c>
      <c r="BG332" s="55"/>
    </row>
    <row r="334" spans="1:63" ht="15.75" thickBot="1" x14ac:dyDescent="0.3"/>
    <row r="335" spans="1:63" x14ac:dyDescent="0.25">
      <c r="A335" s="17" t="s">
        <v>239</v>
      </c>
      <c r="BJ335" s="56" t="s">
        <v>240</v>
      </c>
      <c r="BK335" s="57" t="s">
        <v>241</v>
      </c>
    </row>
    <row r="336" spans="1:63" x14ac:dyDescent="0.25">
      <c r="A336" s="18" t="s">
        <v>3</v>
      </c>
      <c r="BJ336" s="58">
        <f>(BJ168+BJ178)/(BJ173-BJ183*1.1)</f>
        <v>3.192223244846351</v>
      </c>
      <c r="BK336" s="54">
        <v>3.19</v>
      </c>
    </row>
    <row r="337" spans="1:63" x14ac:dyDescent="0.25">
      <c r="A337" s="18" t="s">
        <v>4</v>
      </c>
      <c r="BJ337" s="58">
        <f>(BJ168+BJ179)/(BJ174-(BJ184)*1.2-(BJ183))</f>
        <v>2.5445262384523781</v>
      </c>
      <c r="BK337" s="54">
        <v>2.54</v>
      </c>
    </row>
    <row r="338" spans="1:63" x14ac:dyDescent="0.25">
      <c r="A338" s="18" t="s">
        <v>5</v>
      </c>
      <c r="BJ338" s="58">
        <f>(BJ168+BJ169+BJ180)/(BJ175-(BJ183)*1.1-BJ184*1.2-BJ185*1.3)</f>
        <v>9.1021189939576068</v>
      </c>
      <c r="BK338" s="54">
        <v>9.1</v>
      </c>
    </row>
    <row r="339" spans="1:63" x14ac:dyDescent="0.25">
      <c r="A339" s="18" t="s">
        <v>6</v>
      </c>
      <c r="BJ339" s="58">
        <f>(BJ168+BJ170+BJ181)/(BJ176-(BJ183*1.1+BJ184*1.2)-((BJ185*1.3+BJ186*1.15)))</f>
        <v>4.3247435213062726</v>
      </c>
      <c r="BK339" s="54">
        <v>4.32</v>
      </c>
    </row>
    <row r="340" spans="1:63" x14ac:dyDescent="0.25">
      <c r="A340" s="18" t="s">
        <v>7</v>
      </c>
      <c r="BJ340" s="58">
        <f>(BJ168+BJ171+BJ172+BJ182)/(BJ177-(BJ183*1.1+BJ184*1.2)-(BJ185*1.3+BJ186*1.15+BJ187*1.4))</f>
        <v>2.6445489371723609</v>
      </c>
      <c r="BK340" s="54">
        <v>2.64</v>
      </c>
    </row>
    <row r="341" spans="1:63" x14ac:dyDescent="0.25">
      <c r="BJ341" s="58"/>
      <c r="BK341" s="54"/>
    </row>
    <row r="342" spans="1:63" x14ac:dyDescent="0.25">
      <c r="BJ342" s="58"/>
      <c r="BK342" s="54"/>
    </row>
    <row r="343" spans="1:63" x14ac:dyDescent="0.25">
      <c r="A343" s="18" t="s">
        <v>238</v>
      </c>
      <c r="BJ343" s="58"/>
      <c r="BK343" s="54"/>
    </row>
    <row r="344" spans="1:63" x14ac:dyDescent="0.25">
      <c r="A344" s="18" t="s">
        <v>3</v>
      </c>
      <c r="BJ344" s="58" t="b">
        <f>IF(ABS(BJ336-BK336)&lt;0.01, TRUE)</f>
        <v>1</v>
      </c>
      <c r="BK344" s="54"/>
    </row>
    <row r="345" spans="1:63" x14ac:dyDescent="0.25">
      <c r="A345" s="18" t="s">
        <v>4</v>
      </c>
      <c r="BJ345" s="58" t="b">
        <f t="shared" ref="BJ345:BJ348" si="174">IF(ABS(BJ337-BK337)&lt;0.01, TRUE)</f>
        <v>1</v>
      </c>
      <c r="BK345" s="54"/>
    </row>
    <row r="346" spans="1:63" x14ac:dyDescent="0.25">
      <c r="A346" s="18" t="s">
        <v>5</v>
      </c>
      <c r="BJ346" s="58" t="b">
        <f t="shared" si="174"/>
        <v>1</v>
      </c>
      <c r="BK346" s="54"/>
    </row>
    <row r="347" spans="1:63" x14ac:dyDescent="0.25">
      <c r="A347" s="18" t="s">
        <v>6</v>
      </c>
      <c r="BJ347" s="58" t="b">
        <f t="shared" si="174"/>
        <v>1</v>
      </c>
      <c r="BK347" s="54"/>
    </row>
    <row r="348" spans="1:63" ht="15.75" thickBot="1" x14ac:dyDescent="0.3">
      <c r="A348" s="18" t="s">
        <v>7</v>
      </c>
      <c r="BJ348" s="59" t="b">
        <f t="shared" si="174"/>
        <v>1</v>
      </c>
      <c r="BK348" s="55"/>
    </row>
  </sheetData>
  <autoFilter ref="A1:XFD164" xr:uid="{00000000-0001-0000-0000-000000000000}"/>
  <conditionalFormatting sqref="C205:CS209">
    <cfRule type="cellIs" dxfId="0" priority="1" operator="equal">
      <formula>FALSE</formula>
    </cfRule>
  </conditionalFormatting>
  <pageMargins left="0.70000000000000007" right="0.70000000000000007" top="0.75" bottom="0.75" header="0.30000000000000004" footer="0.30000000000000004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LCR_TS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Kim</dc:creator>
  <cp:keywords/>
  <dc:description/>
  <cp:lastModifiedBy>Michael Kim</cp:lastModifiedBy>
  <cp:revision/>
  <dcterms:created xsi:type="dcterms:W3CDTF">2023-05-29T12:54:22Z</dcterms:created>
  <dcterms:modified xsi:type="dcterms:W3CDTF">2023-08-22T14:59:50Z</dcterms:modified>
  <cp:category/>
  <cp:contentStatus/>
</cp:coreProperties>
</file>